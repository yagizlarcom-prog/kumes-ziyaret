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üp Yavuz\Desktop\"/>
    </mc:Choice>
  </mc:AlternateContent>
  <xr:revisionPtr revIDLastSave="0" documentId="8_{41093D9D-704B-E448-B7DE-9FD0C86FAB8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ENEL" sheetId="92" r:id="rId1"/>
    <sheet name="1" sheetId="9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9" i="92" l="1"/>
  <c r="Y29" i="92"/>
  <c r="W29" i="92"/>
  <c r="Z29" i="92"/>
  <c r="T29" i="92"/>
  <c r="R29" i="92"/>
  <c r="N29" i="92"/>
  <c r="O29" i="92"/>
  <c r="J29" i="92"/>
  <c r="M29" i="92"/>
  <c r="H29" i="92"/>
  <c r="Z28" i="92"/>
  <c r="Y28" i="92"/>
  <c r="S28" i="92"/>
  <c r="P28" i="92"/>
  <c r="Q28" i="92"/>
  <c r="O28" i="92"/>
  <c r="M28" i="92"/>
  <c r="Z27" i="92"/>
  <c r="Y27" i="92"/>
  <c r="S27" i="92"/>
  <c r="U27" i="92"/>
  <c r="P27" i="92"/>
  <c r="Q27" i="92"/>
  <c r="O27" i="92"/>
  <c r="M27" i="92"/>
  <c r="Z26" i="92"/>
  <c r="Y26" i="92"/>
  <c r="S26" i="92"/>
  <c r="U26" i="92"/>
  <c r="P26" i="92"/>
  <c r="Q26" i="92"/>
  <c r="O26" i="92"/>
  <c r="M26" i="92"/>
  <c r="Z25" i="92"/>
  <c r="Y25" i="92"/>
  <c r="S25" i="92"/>
  <c r="P25" i="92"/>
  <c r="Q25" i="92"/>
  <c r="O25" i="92"/>
  <c r="M25" i="92"/>
  <c r="Z24" i="92"/>
  <c r="Y24" i="92"/>
  <c r="S24" i="92"/>
  <c r="U24" i="92"/>
  <c r="P24" i="92"/>
  <c r="Q24" i="92"/>
  <c r="O24" i="92"/>
  <c r="M24" i="92"/>
  <c r="Z23" i="92"/>
  <c r="Y23" i="92"/>
  <c r="S23" i="92"/>
  <c r="P23" i="92"/>
  <c r="Q23" i="92"/>
  <c r="O23" i="92"/>
  <c r="M23" i="92"/>
  <c r="Z22" i="92"/>
  <c r="Y22" i="92"/>
  <c r="S22" i="92"/>
  <c r="P22" i="92"/>
  <c r="Q22" i="92"/>
  <c r="O22" i="92"/>
  <c r="M22" i="92"/>
  <c r="Z21" i="92"/>
  <c r="Y21" i="92"/>
  <c r="S21" i="92"/>
  <c r="P21" i="92"/>
  <c r="Q21" i="92"/>
  <c r="O21" i="92"/>
  <c r="M21" i="92"/>
  <c r="Z20" i="92"/>
  <c r="Y20" i="92"/>
  <c r="S20" i="92"/>
  <c r="P20" i="92"/>
  <c r="Q20" i="92"/>
  <c r="O20" i="92"/>
  <c r="M20" i="92"/>
  <c r="X16" i="92"/>
  <c r="V16" i="92"/>
  <c r="T16" i="92"/>
  <c r="S16" i="92"/>
  <c r="U16" i="92"/>
  <c r="P16" i="92"/>
  <c r="Q16" i="92"/>
  <c r="O16" i="92"/>
  <c r="N16" i="92"/>
  <c r="J16" i="92"/>
  <c r="M16" i="92"/>
  <c r="H16" i="92"/>
  <c r="V15" i="92"/>
  <c r="W15" i="92"/>
  <c r="U15" i="92"/>
  <c r="R15" i="92"/>
  <c r="Q15" i="92"/>
  <c r="O15" i="92"/>
  <c r="M15" i="92"/>
  <c r="G15" i="92"/>
  <c r="V14" i="92"/>
  <c r="W14" i="92"/>
  <c r="U14" i="92"/>
  <c r="R14" i="92"/>
  <c r="Q14" i="92"/>
  <c r="O14" i="92"/>
  <c r="M14" i="92"/>
  <c r="G14" i="92"/>
  <c r="V13" i="92"/>
  <c r="W13" i="92"/>
  <c r="U13" i="92"/>
  <c r="R13" i="92"/>
  <c r="Q13" i="92"/>
  <c r="O13" i="92"/>
  <c r="M13" i="92"/>
  <c r="G13" i="92"/>
  <c r="V12" i="92"/>
  <c r="W12" i="92"/>
  <c r="U12" i="92"/>
  <c r="R12" i="92"/>
  <c r="Q12" i="92"/>
  <c r="O12" i="92"/>
  <c r="M12" i="92"/>
  <c r="G12" i="92"/>
  <c r="V11" i="92"/>
  <c r="W11" i="92"/>
  <c r="U11" i="92"/>
  <c r="R11" i="92"/>
  <c r="Q11" i="92"/>
  <c r="O11" i="92"/>
  <c r="M11" i="92"/>
  <c r="G11" i="92"/>
  <c r="V10" i="92"/>
  <c r="W10" i="92"/>
  <c r="U10" i="92"/>
  <c r="R10" i="92"/>
  <c r="Q10" i="92"/>
  <c r="O10" i="92"/>
  <c r="M10" i="92"/>
  <c r="G10" i="92"/>
  <c r="V9" i="92"/>
  <c r="W9" i="92"/>
  <c r="U9" i="92"/>
  <c r="R9" i="92"/>
  <c r="Q9" i="92"/>
  <c r="O9" i="92"/>
  <c r="M9" i="92"/>
  <c r="G9" i="92"/>
  <c r="V8" i="92"/>
  <c r="W8" i="92"/>
  <c r="U8" i="92"/>
  <c r="R8" i="92"/>
  <c r="Q8" i="92"/>
  <c r="O8" i="92"/>
  <c r="M8" i="92"/>
  <c r="G8" i="92"/>
  <c r="V7" i="92"/>
  <c r="W7" i="92"/>
  <c r="U7" i="92"/>
  <c r="R7" i="92"/>
  <c r="Q7" i="92"/>
  <c r="O7" i="92"/>
  <c r="M7" i="92"/>
  <c r="G7" i="92"/>
  <c r="V6" i="92"/>
  <c r="W6" i="92"/>
  <c r="U6" i="92"/>
  <c r="R6" i="92"/>
  <c r="Q6" i="92"/>
  <c r="O6" i="92"/>
  <c r="M6" i="92"/>
  <c r="G6" i="92"/>
  <c r="V5" i="92"/>
  <c r="W5" i="92"/>
  <c r="U5" i="92"/>
  <c r="R5" i="92"/>
  <c r="Q5" i="92"/>
  <c r="O5" i="92"/>
  <c r="M5" i="92"/>
  <c r="G5" i="92"/>
  <c r="V4" i="92"/>
  <c r="W4" i="92"/>
  <c r="U4" i="92"/>
  <c r="R4" i="92"/>
  <c r="R16" i="92"/>
  <c r="Q4" i="92"/>
  <c r="O4" i="92"/>
  <c r="M4" i="92"/>
  <c r="G4" i="92"/>
  <c r="U22" i="92"/>
  <c r="Y5" i="92"/>
  <c r="Z5" i="92"/>
  <c r="U20" i="92"/>
  <c r="U28" i="92"/>
  <c r="Z8" i="92"/>
  <c r="Y8" i="92"/>
  <c r="U23" i="92"/>
  <c r="Z15" i="92"/>
  <c r="Y15" i="92"/>
  <c r="Z7" i="92"/>
  <c r="Y7" i="92"/>
  <c r="Z12" i="92"/>
  <c r="Y12" i="92"/>
  <c r="U25" i="92"/>
  <c r="Z10" i="92"/>
  <c r="Y10" i="92"/>
  <c r="Z6" i="92"/>
  <c r="Y6" i="92"/>
  <c r="Z13" i="92"/>
  <c r="Y13" i="92"/>
  <c r="U21" i="92"/>
  <c r="Z11" i="92"/>
  <c r="Y11" i="92"/>
  <c r="Y14" i="92"/>
  <c r="Z14" i="92"/>
  <c r="Z4" i="92"/>
  <c r="Y4" i="92"/>
  <c r="W16" i="92"/>
  <c r="Z16" i="92"/>
  <c r="Z9" i="92"/>
  <c r="Y9" i="92"/>
  <c r="P29" i="92"/>
  <c r="Q29" i="92"/>
  <c r="Y16" i="92"/>
  <c r="V29" i="92"/>
  <c r="S29" i="92"/>
  <c r="U29" i="92"/>
  <c r="G4" i="91"/>
  <c r="G5" i="91"/>
  <c r="G6" i="91"/>
  <c r="G7" i="91"/>
  <c r="G8" i="91"/>
  <c r="G9" i="91"/>
  <c r="G10" i="91"/>
  <c r="X29" i="91"/>
  <c r="W29" i="91"/>
  <c r="T29" i="91"/>
  <c r="R29" i="91"/>
  <c r="N29" i="91"/>
  <c r="J29" i="91"/>
  <c r="H29" i="91"/>
  <c r="Z28" i="91"/>
  <c r="Y28" i="91"/>
  <c r="S28" i="91"/>
  <c r="P28" i="91"/>
  <c r="Q28" i="91"/>
  <c r="O28" i="91"/>
  <c r="M28" i="91"/>
  <c r="Z27" i="91"/>
  <c r="Y27" i="91"/>
  <c r="S27" i="91"/>
  <c r="P27" i="91"/>
  <c r="Q27" i="91"/>
  <c r="O27" i="91"/>
  <c r="M27" i="91"/>
  <c r="Z26" i="91"/>
  <c r="Y26" i="91"/>
  <c r="S26" i="91"/>
  <c r="P26" i="91"/>
  <c r="Q26" i="91"/>
  <c r="U26" i="91"/>
  <c r="O26" i="91"/>
  <c r="M26" i="91"/>
  <c r="Z25" i="91"/>
  <c r="Y25" i="91"/>
  <c r="S25" i="91"/>
  <c r="P25" i="91"/>
  <c r="Q25" i="91"/>
  <c r="O25" i="91"/>
  <c r="M25" i="91"/>
  <c r="Z24" i="91"/>
  <c r="Y24" i="91"/>
  <c r="S24" i="91"/>
  <c r="P24" i="91"/>
  <c r="Q24" i="91"/>
  <c r="O24" i="91"/>
  <c r="M24" i="91"/>
  <c r="Z23" i="91"/>
  <c r="Y23" i="91"/>
  <c r="S23" i="91"/>
  <c r="P23" i="91"/>
  <c r="Q23" i="91"/>
  <c r="O23" i="91"/>
  <c r="M23" i="91"/>
  <c r="Z22" i="91"/>
  <c r="Y22" i="91"/>
  <c r="S22" i="91"/>
  <c r="P22" i="91"/>
  <c r="Q22" i="91"/>
  <c r="U22" i="91"/>
  <c r="O22" i="91"/>
  <c r="M22" i="91"/>
  <c r="Z21" i="91"/>
  <c r="Y21" i="91"/>
  <c r="S21" i="91"/>
  <c r="P21" i="91"/>
  <c r="O21" i="91"/>
  <c r="M21" i="91"/>
  <c r="Z20" i="91"/>
  <c r="Y20" i="91"/>
  <c r="S20" i="91"/>
  <c r="P20" i="91"/>
  <c r="Q20" i="91"/>
  <c r="O20" i="91"/>
  <c r="M20" i="91"/>
  <c r="X16" i="91"/>
  <c r="T16" i="91"/>
  <c r="S16" i="91"/>
  <c r="U16" i="91"/>
  <c r="P16" i="91"/>
  <c r="N16" i="91"/>
  <c r="J16" i="91"/>
  <c r="O16" i="91"/>
  <c r="H16" i="91"/>
  <c r="V15" i="91"/>
  <c r="W15" i="91"/>
  <c r="Y15" i="91"/>
  <c r="U15" i="91"/>
  <c r="R15" i="91"/>
  <c r="Q15" i="91"/>
  <c r="O15" i="91"/>
  <c r="M15" i="91"/>
  <c r="G15" i="91"/>
  <c r="V14" i="91"/>
  <c r="W14" i="91"/>
  <c r="U14" i="91"/>
  <c r="R14" i="91"/>
  <c r="Q14" i="91"/>
  <c r="O14" i="91"/>
  <c r="M14" i="91"/>
  <c r="G14" i="91"/>
  <c r="V13" i="91"/>
  <c r="W13" i="91"/>
  <c r="U13" i="91"/>
  <c r="R13" i="91"/>
  <c r="Q13" i="91"/>
  <c r="O13" i="91"/>
  <c r="M13" i="91"/>
  <c r="G13" i="91"/>
  <c r="V12" i="91"/>
  <c r="W12" i="91"/>
  <c r="U12" i="91"/>
  <c r="R12" i="91"/>
  <c r="Q12" i="91"/>
  <c r="O12" i="91"/>
  <c r="M12" i="91"/>
  <c r="G12" i="91"/>
  <c r="V11" i="91"/>
  <c r="W11" i="91"/>
  <c r="Z11" i="91"/>
  <c r="U11" i="91"/>
  <c r="R11" i="91"/>
  <c r="Q11" i="91"/>
  <c r="O11" i="91"/>
  <c r="M11" i="91"/>
  <c r="G11" i="91"/>
  <c r="V10" i="91"/>
  <c r="W10" i="91"/>
  <c r="U10" i="91"/>
  <c r="R10" i="91"/>
  <c r="Q10" i="91"/>
  <c r="O10" i="91"/>
  <c r="M10" i="91"/>
  <c r="V9" i="91"/>
  <c r="W9" i="91"/>
  <c r="U9" i="91"/>
  <c r="R9" i="91"/>
  <c r="Q9" i="91"/>
  <c r="O9" i="91"/>
  <c r="M9" i="91"/>
  <c r="V8" i="91"/>
  <c r="W8" i="91"/>
  <c r="U8" i="91"/>
  <c r="R8" i="91"/>
  <c r="Q8" i="91"/>
  <c r="O8" i="91"/>
  <c r="M8" i="91"/>
  <c r="V7" i="91"/>
  <c r="W7" i="91"/>
  <c r="Z7" i="91"/>
  <c r="U7" i="91"/>
  <c r="R7" i="91"/>
  <c r="Q7" i="91"/>
  <c r="O7" i="91"/>
  <c r="M7" i="91"/>
  <c r="V6" i="91"/>
  <c r="W6" i="91"/>
  <c r="U6" i="91"/>
  <c r="R6" i="91"/>
  <c r="Q6" i="91"/>
  <c r="O6" i="91"/>
  <c r="M6" i="91"/>
  <c r="V5" i="91"/>
  <c r="W5" i="91"/>
  <c r="U5" i="91"/>
  <c r="R5" i="91"/>
  <c r="Q5" i="91"/>
  <c r="O5" i="91"/>
  <c r="M5" i="91"/>
  <c r="V4" i="91"/>
  <c r="W4" i="91"/>
  <c r="U4" i="91"/>
  <c r="R4" i="91"/>
  <c r="Q4" i="91"/>
  <c r="O4" i="91"/>
  <c r="M4" i="91"/>
  <c r="U24" i="91"/>
  <c r="Z29" i="91"/>
  <c r="U27" i="91"/>
  <c r="U25" i="91"/>
  <c r="U20" i="91"/>
  <c r="U28" i="91"/>
  <c r="U23" i="91"/>
  <c r="Y29" i="91"/>
  <c r="P29" i="91"/>
  <c r="Q29" i="91"/>
  <c r="O29" i="91"/>
  <c r="R16" i="91"/>
  <c r="Q16" i="91"/>
  <c r="Z10" i="91"/>
  <c r="Y10" i="91"/>
  <c r="Y5" i="91"/>
  <c r="Z5" i="91"/>
  <c r="Y12" i="91"/>
  <c r="Z12" i="91"/>
  <c r="Z8" i="91"/>
  <c r="Y8" i="91"/>
  <c r="Y4" i="91"/>
  <c r="Z4" i="91"/>
  <c r="W16" i="91"/>
  <c r="Z16" i="91"/>
  <c r="Y13" i="91"/>
  <c r="Z13" i="91"/>
  <c r="Z9" i="91"/>
  <c r="Y9" i="91"/>
  <c r="Z14" i="91"/>
  <c r="Y14" i="91"/>
  <c r="Z6" i="91"/>
  <c r="Y6" i="91"/>
  <c r="M29" i="91"/>
  <c r="V16" i="91"/>
  <c r="Q21" i="91"/>
  <c r="U21" i="91"/>
  <c r="Y7" i="91"/>
  <c r="Z15" i="91"/>
  <c r="M16" i="91"/>
  <c r="Y11" i="91"/>
  <c r="V29" i="91"/>
  <c r="S29" i="91"/>
  <c r="U29" i="91"/>
  <c r="Y16" i="91"/>
</calcChain>
</file>

<file path=xl/sharedStrings.xml><?xml version="1.0" encoding="utf-8"?>
<sst xmlns="http://schemas.openxmlformats.org/spreadsheetml/2006/main" count="115" uniqueCount="38">
  <si>
    <t>GÜNLÜK KÜMES ZİYARET FORMU :</t>
  </si>
  <si>
    <t>İLK HAFTA ÖLÜM</t>
  </si>
  <si>
    <t>ZİYARET TARİHİNDE</t>
  </si>
  <si>
    <t>ÜRETİCİ İSMİ</t>
  </si>
  <si>
    <t>SAHA SORUMLUSU</t>
  </si>
  <si>
    <t>ZİY.TARİHİ</t>
  </si>
  <si>
    <t>gidiş saati</t>
  </si>
  <si>
    <t>çıkış saati</t>
  </si>
  <si>
    <t>kalış süresi</t>
  </si>
  <si>
    <t>KÜM.M2</t>
  </si>
  <si>
    <t>GİRİŞ TARİHİ</t>
  </si>
  <si>
    <t>GİRİŞ ADEDİ</t>
  </si>
  <si>
    <t>CİVCİV ORJİNİ</t>
  </si>
  <si>
    <t>DAMIZLIK VE YAŞI</t>
  </si>
  <si>
    <t>ADET/M2</t>
  </si>
  <si>
    <t>ADET</t>
  </si>
  <si>
    <t>( % )</t>
  </si>
  <si>
    <t>ÖLÜM ADEDİ</t>
  </si>
  <si>
    <t>ÖLÜM %</t>
  </si>
  <si>
    <t>CİVCİV YAŞI</t>
  </si>
  <si>
    <t>OCA</t>
  </si>
  <si>
    <t>STD.OCA</t>
  </si>
  <si>
    <t>GER/STD</t>
  </si>
  <si>
    <t>KÜM.KALAN</t>
  </si>
  <si>
    <t>TOP.CANLI KG</t>
  </si>
  <si>
    <t>YED.YEM</t>
  </si>
  <si>
    <t>FCR</t>
  </si>
  <si>
    <t>RANDIMAN</t>
  </si>
  <si>
    <t>AÇIKLAMALAR</t>
  </si>
  <si>
    <t>HESAP GÖRECEK ÜRETİCİLER :</t>
  </si>
  <si>
    <t>SÜRÜ ÇIKIMINDA</t>
  </si>
  <si>
    <t>ÖLÜ ADEDİ</t>
  </si>
  <si>
    <t>CİVCİV  YAŞI</t>
  </si>
  <si>
    <t>EPEF</t>
  </si>
  <si>
    <t>BİYOGÜVENLİK</t>
  </si>
  <si>
    <t>HAVALANDIRMA KAPASİTESİ</t>
  </si>
  <si>
    <t>GENEL KÜMES ZİYARET FORMU :</t>
  </si>
  <si>
    <t>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</si>
</sst>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2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1"/>
      <color rgb="FFFF0000"/>
      <name val="Arial"/>
      <family val="2"/>
      <charset val="162"/>
    </font>
    <font>
      <sz val="11"/>
      <color rgb="FFFF0000"/>
      <name val="Arial"/>
      <family val="2"/>
      <charset val="162"/>
    </font>
    <font>
      <b/>
      <sz val="11"/>
      <color rgb="FF0000FF"/>
      <name val="Arial"/>
      <family val="2"/>
      <charset val="162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color rgb="FF006600"/>
      <name val="Arial"/>
      <family val="2"/>
      <charset val="162"/>
    </font>
    <font>
      <b/>
      <sz val="10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1"/>
      <color rgb="FF0033CC"/>
      <name val="Arial"/>
      <family val="2"/>
      <charset val="162"/>
    </font>
    <font>
      <b/>
      <sz val="11"/>
      <color rgb="FF006600"/>
      <name val="Arial"/>
      <family val="2"/>
      <charset val="162"/>
    </font>
    <font>
      <b/>
      <sz val="11"/>
      <name val="Arial"/>
      <family val="2"/>
      <charset val="162"/>
    </font>
    <font>
      <i/>
      <sz val="11"/>
      <name val="Arial"/>
      <family val="2"/>
      <charset val="162"/>
    </font>
    <font>
      <b/>
      <sz val="11"/>
      <color rgb="FF009999"/>
      <name val="Arial"/>
      <family val="2"/>
      <charset val="162"/>
    </font>
    <font>
      <b/>
      <sz val="11"/>
      <color rgb="FF3366FF"/>
      <name val="Arial"/>
      <family val="2"/>
      <charset val="162"/>
    </font>
    <font>
      <sz val="11"/>
      <color rgb="FF3366FF"/>
      <name val="Arial"/>
      <family val="2"/>
      <charset val="162"/>
    </font>
    <font>
      <b/>
      <sz val="11"/>
      <color rgb="FF339933"/>
      <name val="Arial"/>
      <family val="2"/>
      <charset val="162"/>
    </font>
    <font>
      <b/>
      <sz val="10"/>
      <color rgb="FF339933"/>
      <name val="Arial"/>
      <family val="2"/>
      <charset val="162"/>
    </font>
    <font>
      <b/>
      <sz val="10"/>
      <color rgb="FF3366FF"/>
      <name val="Arial"/>
      <family val="2"/>
      <charset val="162"/>
    </font>
    <font>
      <b/>
      <sz val="11"/>
      <color rgb="FF3333FF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14" fontId="2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0" borderId="4" xfId="0" applyFont="1" applyBorder="1"/>
    <xf numFmtId="0" fontId="6" fillId="0" borderId="4" xfId="0" applyFont="1" applyBorder="1"/>
    <xf numFmtId="0" fontId="5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0" xfId="0" applyFont="1"/>
    <xf numFmtId="0" fontId="1" fillId="0" borderId="7" xfId="0" applyFont="1" applyBorder="1"/>
    <xf numFmtId="0" fontId="1" fillId="0" borderId="8" xfId="0" applyFont="1" applyBorder="1"/>
    <xf numFmtId="14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9" xfId="0" applyFont="1" applyBorder="1"/>
    <xf numFmtId="20" fontId="1" fillId="5" borderId="9" xfId="0" applyNumberFormat="1" applyFont="1" applyFill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2" fontId="12" fillId="0" borderId="9" xfId="0" applyNumberFormat="1" applyFont="1" applyBorder="1" applyAlignment="1">
      <alignment horizontal="center"/>
    </xf>
    <xf numFmtId="3" fontId="1" fillId="4" borderId="9" xfId="0" applyNumberFormat="1" applyFont="1" applyFill="1" applyBorder="1" applyAlignment="1">
      <alignment horizontal="center"/>
    </xf>
    <xf numFmtId="3" fontId="13" fillId="4" borderId="9" xfId="0" applyNumberFormat="1" applyFont="1" applyFill="1" applyBorder="1" applyAlignment="1">
      <alignment horizontal="center"/>
    </xf>
    <xf numFmtId="164" fontId="14" fillId="4" borderId="9" xfId="0" applyNumberFormat="1" applyFont="1" applyFill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1" fillId="3" borderId="12" xfId="0" applyFont="1" applyFill="1" applyBorder="1"/>
    <xf numFmtId="0" fontId="11" fillId="0" borderId="9" xfId="0" applyFont="1" applyBorder="1" applyAlignment="1">
      <alignment horizontal="center"/>
    </xf>
    <xf numFmtId="2" fontId="1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2" fontId="2" fillId="0" borderId="9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0" fontId="1" fillId="0" borderId="14" xfId="0" applyFont="1" applyBorder="1"/>
    <xf numFmtId="0" fontId="1" fillId="0" borderId="13" xfId="0" applyFont="1" applyBorder="1"/>
    <xf numFmtId="20" fontId="1" fillId="5" borderId="13" xfId="0" applyNumberFormat="1" applyFont="1" applyFill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6" fillId="0" borderId="0" xfId="0" applyFont="1"/>
    <xf numFmtId="0" fontId="17" fillId="0" borderId="0" xfId="0" applyFont="1"/>
    <xf numFmtId="0" fontId="16" fillId="0" borderId="0" xfId="0" applyFont="1" applyAlignment="1">
      <alignment horizontal="center"/>
    </xf>
    <xf numFmtId="0" fontId="5" fillId="0" borderId="5" xfId="0" applyFont="1" applyBorder="1"/>
    <xf numFmtId="0" fontId="1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20" fontId="1" fillId="3" borderId="8" xfId="0" applyNumberFormat="1" applyFont="1" applyFill="1" applyBorder="1" applyAlignment="1">
      <alignment horizontal="center"/>
    </xf>
    <xf numFmtId="3" fontId="18" fillId="0" borderId="8" xfId="0" applyNumberFormat="1" applyFont="1" applyBorder="1" applyAlignment="1">
      <alignment horizontal="center"/>
    </xf>
    <xf numFmtId="2" fontId="18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5" fontId="1" fillId="6" borderId="8" xfId="0" applyNumberFormat="1" applyFont="1" applyFill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3" fontId="2" fillId="6" borderId="8" xfId="0" applyNumberFormat="1" applyFont="1" applyFill="1" applyBorder="1" applyAlignment="1">
      <alignment horizontal="center"/>
    </xf>
    <xf numFmtId="0" fontId="2" fillId="0" borderId="10" xfId="0" applyFont="1" applyBorder="1"/>
    <xf numFmtId="20" fontId="1" fillId="3" borderId="9" xfId="0" applyNumberFormat="1" applyFont="1" applyFill="1" applyBorder="1" applyAlignment="1">
      <alignment horizontal="center"/>
    </xf>
    <xf numFmtId="3" fontId="18" fillId="0" borderId="9" xfId="0" applyNumberFormat="1" applyFont="1" applyBorder="1" applyAlignment="1">
      <alignment horizontal="center"/>
    </xf>
    <xf numFmtId="2" fontId="18" fillId="0" borderId="9" xfId="0" applyNumberFormat="1" applyFont="1" applyBorder="1" applyAlignment="1">
      <alignment horizontal="center"/>
    </xf>
    <xf numFmtId="165" fontId="1" fillId="6" borderId="9" xfId="0" applyNumberFormat="1" applyFont="1" applyFill="1" applyBorder="1" applyAlignment="1">
      <alignment horizontal="center"/>
    </xf>
    <xf numFmtId="166" fontId="1" fillId="0" borderId="9" xfId="0" applyNumberFormat="1" applyFont="1" applyBorder="1" applyAlignment="1">
      <alignment horizontal="center"/>
    </xf>
    <xf numFmtId="3" fontId="2" fillId="6" borderId="9" xfId="0" applyNumberFormat="1" applyFont="1" applyFill="1" applyBorder="1" applyAlignment="1">
      <alignment horizontal="center"/>
    </xf>
    <xf numFmtId="0" fontId="2" fillId="0" borderId="12" xfId="0" applyFont="1" applyBorder="1"/>
    <xf numFmtId="0" fontId="2" fillId="0" borderId="15" xfId="0" applyFont="1" applyBorder="1"/>
    <xf numFmtId="0" fontId="3" fillId="0" borderId="16" xfId="0" applyFont="1" applyBorder="1"/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2" fontId="2" fillId="0" borderId="17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2" fontId="18" fillId="2" borderId="17" xfId="0" applyNumberFormat="1" applyFont="1" applyFill="1" applyBorder="1" applyAlignment="1">
      <alignment horizontal="center"/>
    </xf>
    <xf numFmtId="2" fontId="2" fillId="2" borderId="16" xfId="0" applyNumberFormat="1" applyFont="1" applyFill="1" applyBorder="1" applyAlignment="1">
      <alignment horizontal="center"/>
    </xf>
    <xf numFmtId="165" fontId="2" fillId="2" borderId="17" xfId="0" applyNumberFormat="1" applyFont="1" applyFill="1" applyBorder="1" applyAlignment="1">
      <alignment horizontal="center"/>
    </xf>
    <xf numFmtId="164" fontId="2" fillId="3" borderId="16" xfId="0" applyNumberFormat="1" applyFont="1" applyFill="1" applyBorder="1" applyAlignment="1">
      <alignment horizontal="center"/>
    </xf>
    <xf numFmtId="3" fontId="2" fillId="2" borderId="18" xfId="0" applyNumberFormat="1" applyFont="1" applyFill="1" applyBorder="1" applyAlignment="1">
      <alignment horizontal="center"/>
    </xf>
    <xf numFmtId="165" fontId="2" fillId="2" borderId="16" xfId="0" applyNumberFormat="1" applyFont="1" applyFill="1" applyBorder="1" applyAlignment="1">
      <alignment horizontal="center"/>
    </xf>
    <xf numFmtId="0" fontId="1" fillId="0" borderId="19" xfId="0" applyFont="1" applyBorder="1"/>
    <xf numFmtId="0" fontId="20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1" fillId="0" borderId="13" xfId="0" applyFont="1" applyBorder="1" applyAlignment="1">
      <alignment horizontal="center"/>
    </xf>
    <xf numFmtId="2" fontId="11" fillId="0" borderId="13" xfId="0" applyNumberFormat="1" applyFont="1" applyBorder="1" applyAlignment="1">
      <alignment horizontal="center"/>
    </xf>
    <xf numFmtId="3" fontId="12" fillId="0" borderId="13" xfId="0" applyNumberFormat="1" applyFont="1" applyBorder="1" applyAlignment="1">
      <alignment horizontal="center"/>
    </xf>
    <xf numFmtId="2" fontId="12" fillId="0" borderId="13" xfId="0" applyNumberFormat="1" applyFont="1" applyBorder="1" applyAlignment="1">
      <alignment horizontal="center"/>
    </xf>
    <xf numFmtId="3" fontId="1" fillId="4" borderId="13" xfId="0" applyNumberFormat="1" applyFont="1" applyFill="1" applyBorder="1" applyAlignment="1">
      <alignment horizontal="center"/>
    </xf>
    <xf numFmtId="3" fontId="13" fillId="4" borderId="13" xfId="0" applyNumberFormat="1" applyFont="1" applyFill="1" applyBorder="1" applyAlignment="1">
      <alignment horizontal="center"/>
    </xf>
    <xf numFmtId="164" fontId="14" fillId="4" borderId="13" xfId="0" applyNumberFormat="1" applyFont="1" applyFill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0" fontId="1" fillId="3" borderId="20" xfId="0" applyFont="1" applyFill="1" applyBorder="1"/>
    <xf numFmtId="0" fontId="2" fillId="0" borderId="21" xfId="0" applyFont="1" applyBorder="1"/>
    <xf numFmtId="0" fontId="3" fillId="0" borderId="17" xfId="0" applyFont="1" applyBorder="1"/>
    <xf numFmtId="0" fontId="2" fillId="3" borderId="17" xfId="0" applyFont="1" applyFill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2" fontId="2" fillId="2" borderId="15" xfId="0" applyNumberFormat="1" applyFont="1" applyFill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2" fontId="12" fillId="0" borderId="17" xfId="0" applyNumberFormat="1" applyFont="1" applyBorder="1" applyAlignment="1">
      <alignment horizontal="center"/>
    </xf>
    <xf numFmtId="164" fontId="2" fillId="2" borderId="16" xfId="0" applyNumberFormat="1" applyFont="1" applyFill="1" applyBorder="1" applyAlignment="1">
      <alignment horizontal="center"/>
    </xf>
    <xf numFmtId="164" fontId="2" fillId="4" borderId="17" xfId="0" applyNumberFormat="1" applyFont="1" applyFill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0" fontId="2" fillId="0" borderId="19" xfId="0" applyFont="1" applyBorder="1"/>
    <xf numFmtId="0" fontId="13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2" fontId="2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20" fontId="1" fillId="3" borderId="13" xfId="0" applyNumberFormat="1" applyFont="1" applyFill="1" applyBorder="1" applyAlignment="1">
      <alignment horizontal="center"/>
    </xf>
    <xf numFmtId="3" fontId="18" fillId="0" borderId="13" xfId="0" applyNumberFormat="1" applyFont="1" applyBorder="1" applyAlignment="1">
      <alignment horizontal="center"/>
    </xf>
    <xf numFmtId="2" fontId="18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65" fontId="1" fillId="6" borderId="13" xfId="0" applyNumberFormat="1" applyFont="1" applyFill="1" applyBorder="1" applyAlignment="1">
      <alignment horizontal="center"/>
    </xf>
    <xf numFmtId="166" fontId="1" fillId="0" borderId="13" xfId="0" applyNumberFormat="1" applyFont="1" applyBorder="1" applyAlignment="1">
      <alignment horizontal="center"/>
    </xf>
    <xf numFmtId="3" fontId="2" fillId="6" borderId="13" xfId="0" applyNumberFormat="1" applyFont="1" applyFill="1" applyBorder="1" applyAlignment="1">
      <alignment horizontal="center"/>
    </xf>
    <xf numFmtId="0" fontId="13" fillId="0" borderId="16" xfId="0" applyFont="1" applyBorder="1" applyAlignment="1">
      <alignment horizontal="center"/>
    </xf>
    <xf numFmtId="2" fontId="21" fillId="0" borderId="17" xfId="0" applyNumberFormat="1" applyFont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3" xfId="0" applyFont="1" applyBorder="1" applyAlignment="1">
      <alignment horizontal="center"/>
    </xf>
    <xf numFmtId="14" fontId="1" fillId="0" borderId="23" xfId="0" applyNumberFormat="1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3" fontId="1" fillId="0" borderId="23" xfId="0" applyNumberFormat="1" applyFont="1" applyBorder="1" applyAlignment="1">
      <alignment horizontal="center"/>
    </xf>
    <xf numFmtId="0" fontId="1" fillId="0" borderId="25" xfId="0" applyFont="1" applyBorder="1"/>
    <xf numFmtId="14" fontId="1" fillId="0" borderId="2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2" fontId="11" fillId="0" borderId="22" xfId="0" applyNumberFormat="1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2" fontId="12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3" fontId="1" fillId="4" borderId="22" xfId="0" applyNumberFormat="1" applyFont="1" applyFill="1" applyBorder="1" applyAlignment="1">
      <alignment horizontal="center"/>
    </xf>
    <xf numFmtId="3" fontId="13" fillId="4" borderId="22" xfId="0" applyNumberFormat="1" applyFont="1" applyFill="1" applyBorder="1" applyAlignment="1">
      <alignment horizontal="center"/>
    </xf>
    <xf numFmtId="164" fontId="14" fillId="4" borderId="22" xfId="0" applyNumberFormat="1" applyFont="1" applyFill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2" fillId="0" borderId="27" xfId="0" applyFont="1" applyBorder="1"/>
    <xf numFmtId="0" fontId="3" fillId="0" borderId="28" xfId="0" applyFont="1" applyBorder="1"/>
    <xf numFmtId="0" fontId="2" fillId="0" borderId="28" xfId="0" applyFont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3" fontId="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left"/>
    </xf>
    <xf numFmtId="2" fontId="4" fillId="0" borderId="28" xfId="0" applyNumberFormat="1" applyFont="1" applyBorder="1" applyAlignment="1">
      <alignment horizontal="center"/>
    </xf>
    <xf numFmtId="2" fontId="12" fillId="0" borderId="28" xfId="0" applyNumberFormat="1" applyFont="1" applyBorder="1" applyAlignment="1">
      <alignment horizontal="center"/>
    </xf>
    <xf numFmtId="164" fontId="2" fillId="4" borderId="28" xfId="0" applyNumberFormat="1" applyFont="1" applyFill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20" fontId="1" fillId="3" borderId="22" xfId="0" applyNumberFormat="1" applyFont="1" applyFill="1" applyBorder="1" applyAlignment="1">
      <alignment horizontal="center"/>
    </xf>
    <xf numFmtId="0" fontId="2" fillId="0" borderId="28" xfId="0" applyFont="1" applyBorder="1"/>
    <xf numFmtId="2" fontId="18" fillId="2" borderId="28" xfId="0" applyNumberFormat="1" applyFont="1" applyFill="1" applyBorder="1" applyAlignment="1">
      <alignment horizontal="center"/>
    </xf>
    <xf numFmtId="165" fontId="2" fillId="2" borderId="28" xfId="0" applyNumberFormat="1" applyFont="1" applyFill="1" applyBorder="1" applyAlignment="1">
      <alignment horizontal="center"/>
    </xf>
    <xf numFmtId="0" fontId="10" fillId="0" borderId="23" xfId="0" applyFont="1" applyBorder="1" applyAlignment="1">
      <alignment horizontal="center"/>
    </xf>
    <xf numFmtId="20" fontId="1" fillId="5" borderId="23" xfId="0" applyNumberFormat="1" applyFont="1" applyFill="1" applyBorder="1" applyAlignment="1">
      <alignment horizontal="center"/>
    </xf>
    <xf numFmtId="20" fontId="1" fillId="5" borderId="22" xfId="0" applyNumberFormat="1" applyFont="1" applyFill="1" applyBorder="1" applyAlignment="1">
      <alignment horizontal="center"/>
    </xf>
    <xf numFmtId="0" fontId="1" fillId="3" borderId="10" xfId="0" applyFont="1" applyFill="1" applyBorder="1"/>
    <xf numFmtId="164" fontId="14" fillId="4" borderId="23" xfId="0" applyNumberFormat="1" applyFont="1" applyFill="1" applyBorder="1" applyAlignment="1">
      <alignment horizontal="center"/>
    </xf>
    <xf numFmtId="3" fontId="1" fillId="4" borderId="23" xfId="0" applyNumberFormat="1" applyFont="1" applyFill="1" applyBorder="1" applyAlignment="1">
      <alignment horizontal="center"/>
    </xf>
    <xf numFmtId="3" fontId="13" fillId="4" borderId="23" xfId="0" applyNumberFormat="1" applyFont="1" applyFill="1" applyBorder="1" applyAlignment="1">
      <alignment horizontal="center"/>
    </xf>
    <xf numFmtId="2" fontId="2" fillId="0" borderId="22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165" fontId="1" fillId="6" borderId="22" xfId="0" applyNumberFormat="1" applyFont="1" applyFill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3" fontId="2" fillId="6" borderId="22" xfId="0" applyNumberFormat="1" applyFont="1" applyFill="1" applyBorder="1" applyAlignment="1">
      <alignment horizontal="center"/>
    </xf>
    <xf numFmtId="0" fontId="1" fillId="3" borderId="26" xfId="0" applyFont="1" applyFill="1" applyBorder="1"/>
    <xf numFmtId="0" fontId="1" fillId="0" borderId="12" xfId="0" applyFont="1" applyBorder="1"/>
    <xf numFmtId="3" fontId="18" fillId="0" borderId="22" xfId="0" applyNumberFormat="1" applyFont="1" applyBorder="1" applyAlignment="1">
      <alignment horizontal="center"/>
    </xf>
    <xf numFmtId="2" fontId="18" fillId="0" borderId="22" xfId="0" applyNumberFormat="1" applyFont="1" applyBorder="1" applyAlignment="1">
      <alignment horizontal="center"/>
    </xf>
    <xf numFmtId="0" fontId="1" fillId="0" borderId="26" xfId="0" applyFont="1" applyBorder="1"/>
    <xf numFmtId="2" fontId="21" fillId="0" borderId="28" xfId="0" applyNumberFormat="1" applyFont="1" applyBorder="1" applyAlignment="1">
      <alignment horizontal="center"/>
    </xf>
    <xf numFmtId="0" fontId="1" fillId="0" borderId="9" xfId="0" applyFont="1" applyFill="1" applyBorder="1" applyAlignment="1">
      <alignment horizontal="left"/>
    </xf>
    <xf numFmtId="2" fontId="2" fillId="0" borderId="9" xfId="0" applyNumberFormat="1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2" fontId="11" fillId="0" borderId="9" xfId="0" applyNumberFormat="1" applyFont="1" applyFill="1" applyBorder="1" applyAlignment="1">
      <alignment horizontal="center"/>
    </xf>
    <xf numFmtId="2" fontId="2" fillId="0" borderId="23" xfId="0" applyNumberFormat="1" applyFont="1" applyFill="1" applyBorder="1" applyAlignment="1">
      <alignment horizontal="center"/>
    </xf>
    <xf numFmtId="2" fontId="11" fillId="0" borderId="23" xfId="0" applyNumberFormat="1" applyFont="1" applyFill="1" applyBorder="1" applyAlignment="1">
      <alignment horizontal="center"/>
    </xf>
    <xf numFmtId="0" fontId="1" fillId="0" borderId="23" xfId="0" applyFont="1" applyFill="1" applyBorder="1" applyAlignment="1">
      <alignment horizontal="left"/>
    </xf>
    <xf numFmtId="0" fontId="1" fillId="0" borderId="0" xfId="0" applyFont="1" applyFill="1"/>
    <xf numFmtId="0" fontId="11" fillId="0" borderId="23" xfId="0" applyFont="1" applyFill="1" applyBorder="1" applyAlignment="1">
      <alignment horizontal="center"/>
    </xf>
    <xf numFmtId="3" fontId="12" fillId="0" borderId="23" xfId="0" applyNumberFormat="1" applyFont="1" applyFill="1" applyBorder="1" applyAlignment="1">
      <alignment horizontal="center"/>
    </xf>
    <xf numFmtId="2" fontId="12" fillId="0" borderId="23" xfId="0" applyNumberFormat="1" applyFont="1" applyFill="1" applyBorder="1" applyAlignment="1">
      <alignment horizontal="center"/>
    </xf>
    <xf numFmtId="3" fontId="12" fillId="0" borderId="9" xfId="0" applyNumberFormat="1" applyFont="1" applyFill="1" applyBorder="1" applyAlignment="1">
      <alignment horizontal="center"/>
    </xf>
    <xf numFmtId="2" fontId="12" fillId="0" borderId="9" xfId="0" applyNumberFormat="1" applyFont="1" applyFill="1" applyBorder="1" applyAlignment="1">
      <alignment horizontal="center"/>
    </xf>
    <xf numFmtId="0" fontId="1" fillId="0" borderId="0" xfId="0" applyFont="1" applyBorder="1"/>
    <xf numFmtId="0" fontId="4" fillId="0" borderId="0" xfId="0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33" xfId="0" applyNumberFormat="1" applyFont="1" applyBorder="1" applyAlignment="1">
      <alignment horizontal="center"/>
    </xf>
    <xf numFmtId="2" fontId="1" fillId="0" borderId="34" xfId="0" applyNumberFormat="1" applyFont="1" applyBorder="1" applyAlignment="1">
      <alignment horizontal="center"/>
    </xf>
    <xf numFmtId="2" fontId="2" fillId="0" borderId="35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2" fontId="1" fillId="0" borderId="36" xfId="0" applyNumberFormat="1" applyFont="1" applyBorder="1" applyAlignment="1">
      <alignment horizontal="center"/>
    </xf>
    <xf numFmtId="2" fontId="1" fillId="0" borderId="37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2" fontId="1" fillId="0" borderId="32" xfId="0" applyNumberFormat="1" applyFont="1" applyBorder="1" applyAlignment="1">
      <alignment horizontal="left"/>
    </xf>
    <xf numFmtId="2" fontId="1" fillId="0" borderId="33" xfId="0" applyNumberFormat="1" applyFont="1" applyBorder="1" applyAlignment="1">
      <alignment horizontal="left"/>
    </xf>
    <xf numFmtId="2" fontId="1" fillId="0" borderId="34" xfId="0" applyNumberFormat="1" applyFont="1" applyBorder="1" applyAlignment="1">
      <alignment horizontal="left"/>
    </xf>
    <xf numFmtId="2" fontId="2" fillId="0" borderId="35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left"/>
    </xf>
    <xf numFmtId="0" fontId="18" fillId="0" borderId="0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2" fontId="1" fillId="0" borderId="36" xfId="0" applyNumberFormat="1" applyFont="1" applyBorder="1" applyAlignment="1">
      <alignment horizontal="left"/>
    </xf>
    <xf numFmtId="2" fontId="1" fillId="0" borderId="37" xfId="0" applyNumberFormat="1" applyFont="1" applyBorder="1" applyAlignment="1">
      <alignment horizontal="left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3" fontId="5" fillId="0" borderId="28" xfId="0" applyNumberFormat="1" applyFont="1" applyBorder="1" applyAlignment="1">
      <alignment horizontal="center" vertical="center" wrapText="1"/>
    </xf>
    <xf numFmtId="2" fontId="5" fillId="0" borderId="28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38" xfId="0" applyFont="1" applyBorder="1" applyAlignment="1">
      <alignment horizontal="center"/>
    </xf>
    <xf numFmtId="0" fontId="2" fillId="0" borderId="31" xfId="0" applyFont="1" applyBorder="1" applyAlignment="1">
      <alignment horizontal="left"/>
    </xf>
    <xf numFmtId="2" fontId="2" fillId="2" borderId="30" xfId="0" applyNumberFormat="1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3" fontId="12" fillId="0" borderId="38" xfId="0" applyNumberFormat="1" applyFont="1" applyBorder="1" applyAlignment="1">
      <alignment horizontal="center"/>
    </xf>
    <xf numFmtId="164" fontId="2" fillId="2" borderId="38" xfId="0" applyNumberFormat="1" applyFont="1" applyFill="1" applyBorder="1" applyAlignment="1">
      <alignment horizontal="center"/>
    </xf>
    <xf numFmtId="3" fontId="2" fillId="0" borderId="38" xfId="0" applyNumberFormat="1" applyFont="1" applyBorder="1" applyAlignment="1">
      <alignment horizontal="center"/>
    </xf>
    <xf numFmtId="2" fontId="2" fillId="0" borderId="38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30" xfId="0" applyFont="1" applyBorder="1"/>
    <xf numFmtId="0" fontId="3" fillId="0" borderId="38" xfId="0" applyFont="1" applyBorder="1"/>
    <xf numFmtId="0" fontId="2" fillId="0" borderId="31" xfId="0" applyFont="1" applyBorder="1"/>
    <xf numFmtId="0" fontId="13" fillId="0" borderId="38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2" fontId="2" fillId="2" borderId="38" xfId="0" applyNumberFormat="1" applyFont="1" applyFill="1" applyBorder="1" applyAlignment="1">
      <alignment horizontal="center"/>
    </xf>
    <xf numFmtId="164" fontId="2" fillId="3" borderId="38" xfId="0" applyNumberFormat="1" applyFont="1" applyFill="1" applyBorder="1" applyAlignment="1">
      <alignment horizontal="center"/>
    </xf>
    <xf numFmtId="3" fontId="2" fillId="2" borderId="31" xfId="0" applyNumberFormat="1" applyFont="1" applyFill="1" applyBorder="1" applyAlignment="1">
      <alignment horizontal="center"/>
    </xf>
    <xf numFmtId="165" fontId="2" fillId="2" borderId="38" xfId="0" applyNumberFormat="1" applyFont="1" applyFill="1" applyBorder="1" applyAlignment="1">
      <alignment horizontal="center"/>
    </xf>
    <xf numFmtId="0" fontId="1" fillId="0" borderId="2" xfId="0" applyFont="1" applyBorder="1"/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1517-FB78-4860-941D-B037B2473E61}">
  <dimension ref="A1:AD29"/>
  <sheetViews>
    <sheetView workbookViewId="0">
      <selection activeCell="E9" sqref="E9"/>
    </sheetView>
  </sheetViews>
  <sheetFormatPr defaultColWidth="8.875" defaultRowHeight="13.5" x14ac:dyDescent="0.15"/>
  <cols>
    <col min="1" max="1" width="1.34375" style="1" customWidth="1"/>
    <col min="2" max="2" width="22.05859375" style="1" customWidth="1"/>
    <col min="3" max="3" width="17.62109375" style="1" customWidth="1"/>
    <col min="4" max="4" width="11.8359375" style="1" customWidth="1"/>
    <col min="5" max="7" width="10.4921875" style="1" customWidth="1"/>
    <col min="8" max="8" width="9.01171875" style="2" bestFit="1" customWidth="1"/>
    <col min="9" max="9" width="12.64453125" style="2" customWidth="1"/>
    <col min="10" max="10" width="12.10546875" style="2" customWidth="1"/>
    <col min="11" max="11" width="14.390625" style="3" customWidth="1"/>
    <col min="12" max="12" width="20.71484375" style="3" customWidth="1"/>
    <col min="13" max="13" width="11.56640625" style="2" customWidth="1"/>
    <col min="14" max="14" width="10.625" style="2" customWidth="1"/>
    <col min="15" max="15" width="9.14453125" style="2" customWidth="1"/>
    <col min="16" max="16" width="13.5859375" style="2" customWidth="1"/>
    <col min="17" max="17" width="10.625" style="2" customWidth="1"/>
    <col min="18" max="18" width="13.046875" style="2" customWidth="1"/>
    <col min="19" max="19" width="9.81640625" style="2" customWidth="1"/>
    <col min="20" max="20" width="9.01171875" style="2" bestFit="1" customWidth="1"/>
    <col min="21" max="21" width="10.89453125" style="2" customWidth="1"/>
    <col min="22" max="22" width="13.44921875" style="2" customWidth="1"/>
    <col min="23" max="23" width="14.9296875" style="2" customWidth="1"/>
    <col min="24" max="24" width="13.5859375" style="2" customWidth="1"/>
    <col min="25" max="25" width="11.56640625" style="2" customWidth="1"/>
    <col min="26" max="26" width="12.5078125" style="2" customWidth="1"/>
    <col min="27" max="27" width="25.9609375" style="2" customWidth="1"/>
    <col min="28" max="28" width="16.8125" style="3" customWidth="1"/>
    <col min="29" max="29" width="86.49609375" style="1" customWidth="1"/>
    <col min="30" max="16384" width="8.875" style="1"/>
  </cols>
  <sheetData>
    <row r="1" spans="1:30" ht="14.25" thickBot="1" x14ac:dyDescent="0.2"/>
    <row r="2" spans="1:30" ht="14.25" thickBot="1" x14ac:dyDescent="0.2">
      <c r="B2" s="4" t="s">
        <v>36</v>
      </c>
      <c r="C2" s="5"/>
      <c r="D2" s="6" t="s">
        <v>37</v>
      </c>
      <c r="E2" s="7"/>
      <c r="F2" s="7"/>
      <c r="G2" s="7"/>
      <c r="H2" s="8"/>
      <c r="N2" s="260" t="s">
        <v>1</v>
      </c>
      <c r="O2" s="261"/>
      <c r="P2" s="262" t="s">
        <v>2</v>
      </c>
      <c r="Q2" s="263"/>
      <c r="R2" s="263"/>
      <c r="S2" s="263"/>
      <c r="T2" s="263"/>
      <c r="U2" s="263"/>
      <c r="V2" s="263"/>
      <c r="W2" s="263"/>
      <c r="X2" s="263"/>
      <c r="Y2" s="263"/>
      <c r="Z2" s="264"/>
      <c r="AA2" s="205"/>
      <c r="AB2" s="213"/>
    </row>
    <row r="3" spans="1:30" s="238" customFormat="1" ht="34.9" customHeight="1" thickBot="1" x14ac:dyDescent="0.2">
      <c r="B3" s="223" t="s">
        <v>3</v>
      </c>
      <c r="C3" s="237" t="s">
        <v>4</v>
      </c>
      <c r="D3" s="224" t="s">
        <v>5</v>
      </c>
      <c r="E3" s="225" t="s">
        <v>6</v>
      </c>
      <c r="F3" s="225" t="s">
        <v>7</v>
      </c>
      <c r="G3" s="225" t="s">
        <v>8</v>
      </c>
      <c r="H3" s="224" t="s">
        <v>9</v>
      </c>
      <c r="I3" s="224" t="s">
        <v>10</v>
      </c>
      <c r="J3" s="224" t="s">
        <v>11</v>
      </c>
      <c r="K3" s="226" t="s">
        <v>12</v>
      </c>
      <c r="L3" s="226" t="s">
        <v>13</v>
      </c>
      <c r="M3" s="227" t="s">
        <v>14</v>
      </c>
      <c r="N3" s="228" t="s">
        <v>15</v>
      </c>
      <c r="O3" s="228" t="s">
        <v>16</v>
      </c>
      <c r="P3" s="229" t="s">
        <v>17</v>
      </c>
      <c r="Q3" s="229" t="s">
        <v>18</v>
      </c>
      <c r="R3" s="224" t="s">
        <v>19</v>
      </c>
      <c r="S3" s="230" t="s">
        <v>20</v>
      </c>
      <c r="T3" s="231" t="s">
        <v>21</v>
      </c>
      <c r="U3" s="231" t="s">
        <v>22</v>
      </c>
      <c r="V3" s="224" t="s">
        <v>23</v>
      </c>
      <c r="W3" s="232" t="s">
        <v>24</v>
      </c>
      <c r="X3" s="224" t="s">
        <v>25</v>
      </c>
      <c r="Y3" s="233" t="s">
        <v>26</v>
      </c>
      <c r="Z3" s="224" t="s">
        <v>27</v>
      </c>
      <c r="AA3" s="234" t="s">
        <v>35</v>
      </c>
      <c r="AB3" s="235" t="s">
        <v>34</v>
      </c>
      <c r="AC3" s="236" t="s">
        <v>28</v>
      </c>
    </row>
    <row r="4" spans="1:30" x14ac:dyDescent="0.15">
      <c r="B4" s="139"/>
      <c r="C4" s="138"/>
      <c r="D4" s="141"/>
      <c r="E4" s="174"/>
      <c r="F4" s="174"/>
      <c r="G4" s="28">
        <f t="shared" ref="G4:G15" si="0">F4-E4</f>
        <v>0</v>
      </c>
      <c r="H4" s="140"/>
      <c r="I4" s="141"/>
      <c r="J4" s="142"/>
      <c r="K4" s="197"/>
      <c r="L4" s="198"/>
      <c r="M4" s="195" t="e">
        <f>J4/H4</f>
        <v>#DIV/0!</v>
      </c>
      <c r="N4" s="199"/>
      <c r="O4" s="196" t="e">
        <f>N4/J4*100</f>
        <v>#DIV/0!</v>
      </c>
      <c r="P4" s="200"/>
      <c r="Q4" s="201" t="e">
        <f>P4/J4*100</f>
        <v>#DIV/0!</v>
      </c>
      <c r="R4" s="173">
        <f t="shared" ref="R4:R13" si="1">D4-I4</f>
        <v>0</v>
      </c>
      <c r="S4" s="178"/>
      <c r="T4" s="179"/>
      <c r="U4" s="177" t="e">
        <f>S4/T4*100</f>
        <v>#DIV/0!</v>
      </c>
      <c r="V4" s="144">
        <f>J4-P4</f>
        <v>0</v>
      </c>
      <c r="W4" s="144">
        <f>(S4*V4)/1000</f>
        <v>0</v>
      </c>
      <c r="X4" s="144"/>
      <c r="Y4" s="143" t="e">
        <f>X4/W4</f>
        <v>#DIV/0!</v>
      </c>
      <c r="Z4" s="143" t="e">
        <f>W4/X4</f>
        <v>#DIV/0!</v>
      </c>
      <c r="AA4" s="206"/>
      <c r="AB4" s="214"/>
      <c r="AC4" s="176"/>
    </row>
    <row r="5" spans="1:30" x14ac:dyDescent="0.15">
      <c r="B5" s="26"/>
      <c r="C5" s="27"/>
      <c r="D5" s="40"/>
      <c r="E5" s="28"/>
      <c r="F5" s="28"/>
      <c r="G5" s="28">
        <f t="shared" si="0"/>
        <v>0</v>
      </c>
      <c r="H5" s="39"/>
      <c r="I5" s="40"/>
      <c r="J5" s="41"/>
      <c r="K5" s="191"/>
      <c r="L5" s="191"/>
      <c r="M5" s="192" t="e">
        <f>J5/H5</f>
        <v>#DIV/0!</v>
      </c>
      <c r="N5" s="193"/>
      <c r="O5" s="194" t="e">
        <f>N5/J5*100</f>
        <v>#DIV/0!</v>
      </c>
      <c r="P5" s="202"/>
      <c r="Q5" s="203" t="e">
        <f>P5/J5*100</f>
        <v>#DIV/0!</v>
      </c>
      <c r="R5" s="23">
        <f t="shared" si="1"/>
        <v>0</v>
      </c>
      <c r="S5" s="31"/>
      <c r="T5" s="32"/>
      <c r="U5" s="33" t="e">
        <f>S5/T5*100</f>
        <v>#DIV/0!</v>
      </c>
      <c r="V5" s="34">
        <f>J5-P5</f>
        <v>0</v>
      </c>
      <c r="W5" s="34">
        <f>(S5*V5)/1000</f>
        <v>0</v>
      </c>
      <c r="X5" s="34"/>
      <c r="Y5" s="35" t="e">
        <f>X5/W5</f>
        <v>#DIV/0!</v>
      </c>
      <c r="Z5" s="35" t="e">
        <f>W5/X5</f>
        <v>#DIV/0!</v>
      </c>
      <c r="AA5" s="207"/>
      <c r="AB5" s="215"/>
      <c r="AC5" s="36"/>
    </row>
    <row r="6" spans="1:30" x14ac:dyDescent="0.15">
      <c r="B6" s="26"/>
      <c r="C6" s="27"/>
      <c r="D6" s="40"/>
      <c r="E6" s="28"/>
      <c r="F6" s="28"/>
      <c r="G6" s="28">
        <f t="shared" si="0"/>
        <v>0</v>
      </c>
      <c r="H6" s="39"/>
      <c r="I6" s="40"/>
      <c r="J6" s="41"/>
      <c r="K6" s="191"/>
      <c r="L6" s="191"/>
      <c r="M6" s="192" t="e">
        <f>J6/H6</f>
        <v>#DIV/0!</v>
      </c>
      <c r="N6" s="193"/>
      <c r="O6" s="194" t="e">
        <f>N6/J6*100</f>
        <v>#DIV/0!</v>
      </c>
      <c r="P6" s="202"/>
      <c r="Q6" s="203" t="e">
        <f>P6/J6*100</f>
        <v>#DIV/0!</v>
      </c>
      <c r="R6" s="23">
        <f t="shared" si="1"/>
        <v>0</v>
      </c>
      <c r="S6" s="31"/>
      <c r="T6" s="32"/>
      <c r="U6" s="33" t="e">
        <f>S6/T6*100</f>
        <v>#DIV/0!</v>
      </c>
      <c r="V6" s="34">
        <f>J6-P6</f>
        <v>0</v>
      </c>
      <c r="W6" s="34">
        <f>(S6*V6)/1000</f>
        <v>0</v>
      </c>
      <c r="X6" s="34"/>
      <c r="Y6" s="35" t="e">
        <f>X6/W6</f>
        <v>#DIV/0!</v>
      </c>
      <c r="Z6" s="35" t="e">
        <f>W6/X6</f>
        <v>#DIV/0!</v>
      </c>
      <c r="AA6" s="207"/>
      <c r="AB6" s="215"/>
      <c r="AC6" s="36"/>
    </row>
    <row r="7" spans="1:30" x14ac:dyDescent="0.15">
      <c r="B7" s="26"/>
      <c r="C7" s="27"/>
      <c r="D7" s="40"/>
      <c r="E7" s="28"/>
      <c r="F7" s="28"/>
      <c r="G7" s="28">
        <f t="shared" si="0"/>
        <v>0</v>
      </c>
      <c r="H7" s="39"/>
      <c r="I7" s="40"/>
      <c r="J7" s="41"/>
      <c r="K7" s="191"/>
      <c r="L7" s="191"/>
      <c r="M7" s="192" t="e">
        <f>J7/H7</f>
        <v>#DIV/0!</v>
      </c>
      <c r="N7" s="193"/>
      <c r="O7" s="194" t="e">
        <f>N7/J7*100</f>
        <v>#DIV/0!</v>
      </c>
      <c r="P7" s="202"/>
      <c r="Q7" s="203" t="e">
        <f>P7/J7*100</f>
        <v>#DIV/0!</v>
      </c>
      <c r="R7" s="23">
        <f t="shared" si="1"/>
        <v>0</v>
      </c>
      <c r="S7" s="31"/>
      <c r="T7" s="32"/>
      <c r="U7" s="33" t="e">
        <f>S7/T7*100</f>
        <v>#DIV/0!</v>
      </c>
      <c r="V7" s="34">
        <f>J7-P7</f>
        <v>0</v>
      </c>
      <c r="W7" s="34">
        <f>(S7*V7)/1000</f>
        <v>0</v>
      </c>
      <c r="X7" s="34"/>
      <c r="Y7" s="35" t="e">
        <f>X7/W7</f>
        <v>#DIV/0!</v>
      </c>
      <c r="Z7" s="35" t="e">
        <f>W7/X7</f>
        <v>#DIV/0!</v>
      </c>
      <c r="AA7" s="207"/>
      <c r="AB7" s="215"/>
      <c r="AC7" s="36"/>
    </row>
    <row r="8" spans="1:30" x14ac:dyDescent="0.15">
      <c r="B8" s="26"/>
      <c r="C8" s="27"/>
      <c r="D8" s="40"/>
      <c r="E8" s="28"/>
      <c r="F8" s="28"/>
      <c r="G8" s="28">
        <f t="shared" si="0"/>
        <v>0</v>
      </c>
      <c r="H8" s="39"/>
      <c r="I8" s="40"/>
      <c r="J8" s="41"/>
      <c r="K8" s="191"/>
      <c r="L8" s="191"/>
      <c r="M8" s="192" t="e">
        <f>J8/H8</f>
        <v>#DIV/0!</v>
      </c>
      <c r="N8" s="193"/>
      <c r="O8" s="194" t="e">
        <f>N8/J8*100</f>
        <v>#DIV/0!</v>
      </c>
      <c r="P8" s="202"/>
      <c r="Q8" s="203" t="e">
        <f>P8/J8*100</f>
        <v>#DIV/0!</v>
      </c>
      <c r="R8" s="23">
        <f t="shared" si="1"/>
        <v>0</v>
      </c>
      <c r="S8" s="31"/>
      <c r="T8" s="32"/>
      <c r="U8" s="33" t="e">
        <f>S8/T8*100</f>
        <v>#DIV/0!</v>
      </c>
      <c r="V8" s="34">
        <f>J8-P8</f>
        <v>0</v>
      </c>
      <c r="W8" s="34">
        <f>(S8*V8)/1000</f>
        <v>0</v>
      </c>
      <c r="X8" s="34"/>
      <c r="Y8" s="35" t="e">
        <f>X8/W8</f>
        <v>#DIV/0!</v>
      </c>
      <c r="Z8" s="35" t="e">
        <f>W8/X8</f>
        <v>#DIV/0!</v>
      </c>
      <c r="AA8" s="207"/>
      <c r="AB8" s="215"/>
      <c r="AC8" s="36"/>
    </row>
    <row r="9" spans="1:30" x14ac:dyDescent="0.15">
      <c r="B9" s="26"/>
      <c r="C9" s="27"/>
      <c r="D9" s="40"/>
      <c r="E9" s="28"/>
      <c r="F9" s="28"/>
      <c r="G9" s="28">
        <f t="shared" si="0"/>
        <v>0</v>
      </c>
      <c r="H9" s="39"/>
      <c r="I9" s="40"/>
      <c r="J9" s="41"/>
      <c r="K9" s="42"/>
      <c r="L9" s="42"/>
      <c r="M9" s="43" t="e">
        <f t="shared" ref="M9:M16" si="2">J9/H9</f>
        <v>#DIV/0!</v>
      </c>
      <c r="N9" s="37"/>
      <c r="O9" s="38" t="e">
        <f t="shared" ref="O9:O15" si="3">N9/J9*100</f>
        <v>#DIV/0!</v>
      </c>
      <c r="P9" s="29"/>
      <c r="Q9" s="30" t="e">
        <f t="shared" ref="Q9:Q16" si="4">P9/J9*100</f>
        <v>#DIV/0!</v>
      </c>
      <c r="R9" s="23">
        <f t="shared" si="1"/>
        <v>0</v>
      </c>
      <c r="S9" s="31"/>
      <c r="T9" s="32"/>
      <c r="U9" s="33" t="e">
        <f t="shared" ref="U9:U16" si="5">S9/T9*100</f>
        <v>#DIV/0!</v>
      </c>
      <c r="V9" s="34">
        <f>J9-P9</f>
        <v>0</v>
      </c>
      <c r="W9" s="34">
        <f>(S9*V9)/1000</f>
        <v>0</v>
      </c>
      <c r="X9" s="34"/>
      <c r="Y9" s="35" t="e">
        <f t="shared" ref="Y9:Y16" si="6">X9/W9</f>
        <v>#DIV/0!</v>
      </c>
      <c r="Z9" s="35" t="e">
        <f t="shared" ref="Z9:Z16" si="7">W9/X9</f>
        <v>#DIV/0!</v>
      </c>
      <c r="AA9" s="207"/>
      <c r="AB9" s="215"/>
      <c r="AC9" s="36"/>
    </row>
    <row r="10" spans="1:30" x14ac:dyDescent="0.15">
      <c r="B10" s="26"/>
      <c r="C10" s="27"/>
      <c r="D10" s="40"/>
      <c r="E10" s="28"/>
      <c r="F10" s="28"/>
      <c r="G10" s="28">
        <f t="shared" si="0"/>
        <v>0</v>
      </c>
      <c r="H10" s="39"/>
      <c r="I10" s="40"/>
      <c r="J10" s="41"/>
      <c r="K10" s="42"/>
      <c r="L10" s="42"/>
      <c r="M10" s="43" t="e">
        <f t="shared" si="2"/>
        <v>#DIV/0!</v>
      </c>
      <c r="N10" s="37"/>
      <c r="O10" s="38" t="e">
        <f t="shared" si="3"/>
        <v>#DIV/0!</v>
      </c>
      <c r="P10" s="29"/>
      <c r="Q10" s="30" t="e">
        <f t="shared" si="4"/>
        <v>#DIV/0!</v>
      </c>
      <c r="R10" s="23">
        <f t="shared" si="1"/>
        <v>0</v>
      </c>
      <c r="S10" s="31"/>
      <c r="T10" s="32"/>
      <c r="U10" s="33" t="e">
        <f t="shared" si="5"/>
        <v>#DIV/0!</v>
      </c>
      <c r="V10" s="34">
        <f>J10-P10</f>
        <v>0</v>
      </c>
      <c r="W10" s="34">
        <f>(S10*V10)/1000</f>
        <v>0</v>
      </c>
      <c r="X10" s="34"/>
      <c r="Y10" s="35" t="e">
        <f t="shared" si="6"/>
        <v>#DIV/0!</v>
      </c>
      <c r="Z10" s="35" t="e">
        <f t="shared" si="7"/>
        <v>#DIV/0!</v>
      </c>
      <c r="AA10" s="207"/>
      <c r="AB10" s="215"/>
      <c r="AC10" s="36"/>
    </row>
    <row r="11" spans="1:30" x14ac:dyDescent="0.15">
      <c r="B11" s="26"/>
      <c r="C11" s="27"/>
      <c r="D11" s="40"/>
      <c r="E11" s="28"/>
      <c r="F11" s="28"/>
      <c r="G11" s="28">
        <f t="shared" si="0"/>
        <v>0</v>
      </c>
      <c r="H11" s="39"/>
      <c r="I11" s="40"/>
      <c r="J11" s="41"/>
      <c r="K11" s="42"/>
      <c r="L11" s="42"/>
      <c r="M11" s="43" t="e">
        <f t="shared" si="2"/>
        <v>#DIV/0!</v>
      </c>
      <c r="N11" s="37"/>
      <c r="O11" s="38" t="e">
        <f t="shared" si="3"/>
        <v>#DIV/0!</v>
      </c>
      <c r="P11" s="29"/>
      <c r="Q11" s="30" t="e">
        <f t="shared" si="4"/>
        <v>#DIV/0!</v>
      </c>
      <c r="R11" s="23">
        <f t="shared" si="1"/>
        <v>0</v>
      </c>
      <c r="S11" s="31"/>
      <c r="T11" s="32"/>
      <c r="U11" s="33" t="e">
        <f t="shared" si="5"/>
        <v>#DIV/0!</v>
      </c>
      <c r="V11" s="34">
        <f>J11-P11</f>
        <v>0</v>
      </c>
      <c r="W11" s="34">
        <f>(S11*V11)/1000</f>
        <v>0</v>
      </c>
      <c r="X11" s="34"/>
      <c r="Y11" s="35" t="e">
        <f t="shared" si="6"/>
        <v>#DIV/0!</v>
      </c>
      <c r="Z11" s="35" t="e">
        <f t="shared" si="7"/>
        <v>#DIV/0!</v>
      </c>
      <c r="AA11" s="207"/>
      <c r="AB11" s="215"/>
      <c r="AC11" s="36"/>
    </row>
    <row r="12" spans="1:30" x14ac:dyDescent="0.15">
      <c r="B12" s="26"/>
      <c r="C12" s="27"/>
      <c r="D12" s="40"/>
      <c r="E12" s="28"/>
      <c r="F12" s="28"/>
      <c r="G12" s="28">
        <f t="shared" si="0"/>
        <v>0</v>
      </c>
      <c r="H12" s="39"/>
      <c r="I12" s="40"/>
      <c r="J12" s="41"/>
      <c r="K12" s="42"/>
      <c r="L12" s="42"/>
      <c r="M12" s="43" t="e">
        <f t="shared" si="2"/>
        <v>#DIV/0!</v>
      </c>
      <c r="N12" s="37"/>
      <c r="O12" s="38" t="e">
        <f t="shared" si="3"/>
        <v>#DIV/0!</v>
      </c>
      <c r="P12" s="29"/>
      <c r="Q12" s="30" t="e">
        <f t="shared" si="4"/>
        <v>#DIV/0!</v>
      </c>
      <c r="R12" s="23">
        <f t="shared" si="1"/>
        <v>0</v>
      </c>
      <c r="S12" s="31"/>
      <c r="T12" s="32"/>
      <c r="U12" s="33" t="e">
        <f t="shared" si="5"/>
        <v>#DIV/0!</v>
      </c>
      <c r="V12" s="34">
        <f>J12-P12</f>
        <v>0</v>
      </c>
      <c r="W12" s="34">
        <f>(S12*V12)/1000</f>
        <v>0</v>
      </c>
      <c r="X12" s="34"/>
      <c r="Y12" s="35" t="e">
        <f t="shared" si="6"/>
        <v>#DIV/0!</v>
      </c>
      <c r="Z12" s="35" t="e">
        <f t="shared" si="7"/>
        <v>#DIV/0!</v>
      </c>
      <c r="AA12" s="207"/>
      <c r="AB12" s="215"/>
      <c r="AC12" s="36"/>
    </row>
    <row r="13" spans="1:30" x14ac:dyDescent="0.15">
      <c r="B13" s="26"/>
      <c r="C13" s="27"/>
      <c r="D13" s="40"/>
      <c r="E13" s="28"/>
      <c r="F13" s="28"/>
      <c r="G13" s="28">
        <f t="shared" si="0"/>
        <v>0</v>
      </c>
      <c r="H13" s="39"/>
      <c r="I13" s="40"/>
      <c r="J13" s="41"/>
      <c r="K13" s="42"/>
      <c r="L13" s="42"/>
      <c r="M13" s="43" t="e">
        <f t="shared" si="2"/>
        <v>#DIV/0!</v>
      </c>
      <c r="N13" s="37"/>
      <c r="O13" s="38" t="e">
        <f t="shared" si="3"/>
        <v>#DIV/0!</v>
      </c>
      <c r="P13" s="29"/>
      <c r="Q13" s="30" t="e">
        <f t="shared" si="4"/>
        <v>#DIV/0!</v>
      </c>
      <c r="R13" s="23">
        <f t="shared" si="1"/>
        <v>0</v>
      </c>
      <c r="S13" s="31"/>
      <c r="T13" s="32"/>
      <c r="U13" s="33" t="e">
        <f t="shared" si="5"/>
        <v>#DIV/0!</v>
      </c>
      <c r="V13" s="34">
        <f>J13-P13</f>
        <v>0</v>
      </c>
      <c r="W13" s="34">
        <f>(S13*V13)/1000</f>
        <v>0</v>
      </c>
      <c r="X13" s="34"/>
      <c r="Y13" s="35" t="e">
        <f t="shared" si="6"/>
        <v>#DIV/0!</v>
      </c>
      <c r="Z13" s="35" t="e">
        <f t="shared" si="7"/>
        <v>#DIV/0!</v>
      </c>
      <c r="AA13" s="207"/>
      <c r="AB13" s="215"/>
      <c r="AC13" s="36"/>
    </row>
    <row r="14" spans="1:30" x14ac:dyDescent="0.15">
      <c r="B14" s="26"/>
      <c r="C14" s="27"/>
      <c r="E14" s="28"/>
      <c r="F14" s="28"/>
      <c r="G14" s="28">
        <f t="shared" si="0"/>
        <v>0</v>
      </c>
      <c r="H14" s="39"/>
      <c r="I14" s="40"/>
      <c r="J14" s="41"/>
      <c r="K14" s="42"/>
      <c r="L14" s="42"/>
      <c r="M14" s="43" t="e">
        <f t="shared" si="2"/>
        <v>#DIV/0!</v>
      </c>
      <c r="N14" s="37"/>
      <c r="O14" s="38" t="e">
        <f t="shared" si="3"/>
        <v>#DIV/0!</v>
      </c>
      <c r="P14" s="29"/>
      <c r="Q14" s="30" t="e">
        <f t="shared" si="4"/>
        <v>#DIV/0!</v>
      </c>
      <c r="R14" s="23">
        <f>D15-I14</f>
        <v>0</v>
      </c>
      <c r="S14" s="31"/>
      <c r="T14" s="32"/>
      <c r="U14" s="33" t="e">
        <f t="shared" si="5"/>
        <v>#DIV/0!</v>
      </c>
      <c r="V14" s="34">
        <f>J14-P14</f>
        <v>0</v>
      </c>
      <c r="W14" s="34">
        <f>(S14*V14)/1000</f>
        <v>0</v>
      </c>
      <c r="X14" s="34"/>
      <c r="Y14" s="35" t="e">
        <f t="shared" si="6"/>
        <v>#DIV/0!</v>
      </c>
      <c r="Z14" s="35" t="e">
        <f t="shared" si="7"/>
        <v>#DIV/0!</v>
      </c>
      <c r="AA14" s="207"/>
      <c r="AB14" s="215"/>
      <c r="AC14" s="36"/>
    </row>
    <row r="15" spans="1:30" ht="14.25" thickBot="1" x14ac:dyDescent="0.2">
      <c r="A15" s="49"/>
      <c r="B15" s="45"/>
      <c r="C15" s="46"/>
      <c r="D15" s="146"/>
      <c r="E15" s="47"/>
      <c r="F15" s="47"/>
      <c r="G15" s="47">
        <f t="shared" si="0"/>
        <v>0</v>
      </c>
      <c r="H15" s="97"/>
      <c r="I15" s="44"/>
      <c r="J15" s="98"/>
      <c r="K15" s="99"/>
      <c r="L15" s="99"/>
      <c r="M15" s="48" t="e">
        <f t="shared" si="2"/>
        <v>#DIV/0!</v>
      </c>
      <c r="N15" s="100"/>
      <c r="O15" s="101" t="e">
        <f t="shared" si="3"/>
        <v>#DIV/0!</v>
      </c>
      <c r="P15" s="102"/>
      <c r="Q15" s="103" t="e">
        <f t="shared" si="4"/>
        <v>#DIV/0!</v>
      </c>
      <c r="R15" s="23">
        <f>D16-I15</f>
        <v>0</v>
      </c>
      <c r="S15" s="104"/>
      <c r="T15" s="105"/>
      <c r="U15" s="106" t="e">
        <f t="shared" si="5"/>
        <v>#DIV/0!</v>
      </c>
      <c r="V15" s="107">
        <f>J15-P15</f>
        <v>0</v>
      </c>
      <c r="W15" s="107">
        <f>(S15*V15)/1000</f>
        <v>0</v>
      </c>
      <c r="X15" s="107"/>
      <c r="Y15" s="108" t="e">
        <f t="shared" si="6"/>
        <v>#DIV/0!</v>
      </c>
      <c r="Z15" s="108" t="e">
        <f t="shared" si="7"/>
        <v>#DIV/0!</v>
      </c>
      <c r="AA15" s="208"/>
      <c r="AB15" s="216"/>
      <c r="AC15" s="109"/>
      <c r="AD15" s="49"/>
    </row>
    <row r="16" spans="1:30" ht="14.25" thickBot="1" x14ac:dyDescent="0.2">
      <c r="A16" s="49"/>
      <c r="B16" s="110"/>
      <c r="C16" s="111"/>
      <c r="D16" s="161"/>
      <c r="E16" s="112"/>
      <c r="F16" s="112"/>
      <c r="G16" s="112"/>
      <c r="H16" s="81">
        <f>SUM(H4:H15)</f>
        <v>0</v>
      </c>
      <c r="I16" s="80"/>
      <c r="J16" s="82">
        <f>SUM(J4:J15)</f>
        <v>0</v>
      </c>
      <c r="K16" s="113"/>
      <c r="L16" s="114"/>
      <c r="M16" s="115" t="e">
        <f t="shared" si="2"/>
        <v>#DIV/0!</v>
      </c>
      <c r="N16" s="86">
        <f>SUM(N4:N15)</f>
        <v>0</v>
      </c>
      <c r="O16" s="87" t="e">
        <f>N16/J16*100</f>
        <v>#DIV/0!</v>
      </c>
      <c r="P16" s="116">
        <f>SUM(P4:P15)</f>
        <v>0</v>
      </c>
      <c r="Q16" s="117" t="e">
        <f t="shared" si="4"/>
        <v>#DIV/0!</v>
      </c>
      <c r="R16" s="118">
        <f>AVERAGE(R4:R15)</f>
        <v>0</v>
      </c>
      <c r="S16" s="118" t="e">
        <f>AVERAGE(S4:S15)</f>
        <v>#DIV/0!</v>
      </c>
      <c r="T16" s="119" t="e">
        <f>AVERAGE(T4:T15)</f>
        <v>#DIV/0!</v>
      </c>
      <c r="U16" s="118" t="e">
        <f t="shared" si="5"/>
        <v>#DIV/0!</v>
      </c>
      <c r="V16" s="120">
        <f>J16-P16</f>
        <v>0</v>
      </c>
      <c r="W16" s="82">
        <f>SUM(W4:W15)</f>
        <v>0</v>
      </c>
      <c r="X16" s="82">
        <f>SUM(X4:X15)</f>
        <v>0</v>
      </c>
      <c r="Y16" s="121" t="e">
        <f t="shared" si="6"/>
        <v>#DIV/0!</v>
      </c>
      <c r="Z16" s="85" t="e">
        <f t="shared" si="7"/>
        <v>#DIV/0!</v>
      </c>
      <c r="AA16" s="209"/>
      <c r="AB16" s="217"/>
      <c r="AC16" s="122"/>
      <c r="AD16" s="49"/>
    </row>
    <row r="17" spans="2:29" ht="14.25" thickBot="1" x14ac:dyDescent="0.2">
      <c r="B17" s="49"/>
      <c r="C17" s="50"/>
      <c r="D17" s="51"/>
      <c r="E17" s="51"/>
      <c r="F17" s="51"/>
      <c r="G17" s="51"/>
      <c r="H17" s="51"/>
      <c r="I17" s="51"/>
      <c r="J17" s="52"/>
      <c r="K17" s="53"/>
      <c r="L17" s="53"/>
      <c r="M17" s="54"/>
      <c r="N17" s="123"/>
      <c r="O17" s="124"/>
      <c r="P17" s="51"/>
      <c r="Q17" s="55"/>
      <c r="R17" s="51"/>
      <c r="S17" s="56"/>
      <c r="T17" s="56"/>
      <c r="U17" s="56"/>
      <c r="V17" s="52"/>
      <c r="W17" s="52"/>
      <c r="X17" s="52"/>
      <c r="Y17" s="54"/>
      <c r="Z17" s="54"/>
      <c r="AA17" s="54"/>
      <c r="AB17" s="218"/>
      <c r="AC17" s="49"/>
    </row>
    <row r="18" spans="2:29" s="17" customFormat="1" ht="14.25" thickBot="1" x14ac:dyDescent="0.2">
      <c r="B18" s="57" t="s">
        <v>29</v>
      </c>
      <c r="C18" s="58"/>
      <c r="D18" s="59"/>
      <c r="E18" s="59"/>
      <c r="F18" s="59"/>
      <c r="G18" s="59"/>
      <c r="H18" s="59"/>
      <c r="I18" s="59"/>
      <c r="J18" s="59"/>
      <c r="K18" s="57"/>
      <c r="L18" s="57"/>
      <c r="M18" s="59"/>
      <c r="N18" s="260" t="s">
        <v>1</v>
      </c>
      <c r="O18" s="261"/>
      <c r="P18" s="265" t="s">
        <v>30</v>
      </c>
      <c r="Q18" s="266"/>
      <c r="R18" s="266"/>
      <c r="S18" s="266"/>
      <c r="T18" s="266"/>
      <c r="U18" s="266"/>
      <c r="V18" s="266"/>
      <c r="W18" s="266"/>
      <c r="X18" s="266"/>
      <c r="Y18" s="266"/>
      <c r="Z18" s="267"/>
      <c r="AA18" s="210"/>
      <c r="AB18" s="219"/>
      <c r="AC18" s="57"/>
    </row>
    <row r="19" spans="2:29" ht="14.25" thickBot="1" x14ac:dyDescent="0.2">
      <c r="B19" s="9" t="s">
        <v>3</v>
      </c>
      <c r="C19" s="10" t="s">
        <v>4</v>
      </c>
      <c r="D19" s="11" t="s">
        <v>5</v>
      </c>
      <c r="E19" s="11"/>
      <c r="F19" s="11"/>
      <c r="G19" s="11"/>
      <c r="H19" s="11" t="s">
        <v>9</v>
      </c>
      <c r="I19" s="11" t="s">
        <v>10</v>
      </c>
      <c r="J19" s="11" t="s">
        <v>11</v>
      </c>
      <c r="K19" s="9" t="s">
        <v>12</v>
      </c>
      <c r="L19" s="60" t="s">
        <v>13</v>
      </c>
      <c r="M19" s="12" t="s">
        <v>14</v>
      </c>
      <c r="N19" s="96" t="s">
        <v>15</v>
      </c>
      <c r="O19" s="96" t="s">
        <v>16</v>
      </c>
      <c r="P19" s="61" t="s">
        <v>31</v>
      </c>
      <c r="Q19" s="61" t="s">
        <v>18</v>
      </c>
      <c r="R19" s="16" t="s">
        <v>32</v>
      </c>
      <c r="S19" s="11" t="s">
        <v>20</v>
      </c>
      <c r="T19" s="62" t="s">
        <v>21</v>
      </c>
      <c r="U19" s="62" t="s">
        <v>33</v>
      </c>
      <c r="V19" s="11" t="s">
        <v>23</v>
      </c>
      <c r="W19" s="13" t="s">
        <v>24</v>
      </c>
      <c r="X19" s="14" t="s">
        <v>25</v>
      </c>
      <c r="Y19" s="15" t="s">
        <v>26</v>
      </c>
      <c r="Z19" s="16" t="s">
        <v>27</v>
      </c>
      <c r="AA19" s="16"/>
      <c r="AB19" s="220"/>
      <c r="AC19" s="9" t="s">
        <v>28</v>
      </c>
    </row>
    <row r="20" spans="2:29" x14ac:dyDescent="0.15">
      <c r="B20" s="18"/>
      <c r="C20" s="19"/>
      <c r="D20" s="20"/>
      <c r="E20" s="63"/>
      <c r="F20" s="63"/>
      <c r="G20" s="63"/>
      <c r="H20" s="21"/>
      <c r="I20" s="20"/>
      <c r="J20" s="22"/>
      <c r="K20" s="19"/>
      <c r="L20" s="19"/>
      <c r="M20" s="125" t="e">
        <f t="shared" ref="M20:M29" si="8">J20/H20</f>
        <v>#DIV/0!</v>
      </c>
      <c r="N20" s="126"/>
      <c r="O20" s="127" t="e">
        <f t="shared" ref="O20:O29" si="9">N20/J20*100</f>
        <v>#DIV/0!</v>
      </c>
      <c r="P20" s="64">
        <f>J20-V20</f>
        <v>0</v>
      </c>
      <c r="Q20" s="65" t="e">
        <f t="shared" ref="Q20:Q29" si="10">P20/J20*100</f>
        <v>#DIV/0!</v>
      </c>
      <c r="R20" s="66"/>
      <c r="S20" s="67" t="e">
        <f>W20/V20</f>
        <v>#DIV/0!</v>
      </c>
      <c r="T20" s="68"/>
      <c r="U20" s="69" t="e">
        <f>(((S20)*(100-Q20))/(Y20*R20))*100</f>
        <v>#DIV/0!</v>
      </c>
      <c r="V20" s="24"/>
      <c r="W20" s="24"/>
      <c r="X20" s="24"/>
      <c r="Y20" s="25" t="e">
        <f t="shared" ref="Y20:Y28" si="11">X20/W20</f>
        <v>#DIV/0!</v>
      </c>
      <c r="Z20" s="25" t="e">
        <f t="shared" ref="Z20:Z28" si="12">(W20/X20)*100</f>
        <v>#DIV/0!</v>
      </c>
      <c r="AA20" s="211"/>
      <c r="AB20" s="221"/>
      <c r="AC20" s="70"/>
    </row>
    <row r="21" spans="2:29" x14ac:dyDescent="0.15">
      <c r="B21" s="26"/>
      <c r="C21" s="27"/>
      <c r="D21" s="40"/>
      <c r="E21" s="71"/>
      <c r="F21" s="71"/>
      <c r="G21" s="71"/>
      <c r="H21" s="39"/>
      <c r="I21" s="40"/>
      <c r="J21" s="41"/>
      <c r="K21" s="27"/>
      <c r="L21" s="27"/>
      <c r="M21" s="43" t="e">
        <f t="shared" si="8"/>
        <v>#DIV/0!</v>
      </c>
      <c r="N21" s="37"/>
      <c r="O21" s="38" t="e">
        <f t="shared" si="9"/>
        <v>#DIV/0!</v>
      </c>
      <c r="P21" s="72">
        <f>J21-V21</f>
        <v>0</v>
      </c>
      <c r="Q21" s="73" t="e">
        <f t="shared" si="10"/>
        <v>#DIV/0!</v>
      </c>
      <c r="R21" s="23"/>
      <c r="S21" s="74" t="e">
        <f t="shared" ref="S21:S28" si="13">W21/V21</f>
        <v>#DIV/0!</v>
      </c>
      <c r="T21" s="75"/>
      <c r="U21" s="76" t="e">
        <f>(((S21)*(100-Q21))/(Y21*R21))*100</f>
        <v>#DIV/0!</v>
      </c>
      <c r="V21" s="34"/>
      <c r="W21" s="34"/>
      <c r="X21" s="34"/>
      <c r="Y21" s="35" t="e">
        <f t="shared" si="11"/>
        <v>#DIV/0!</v>
      </c>
      <c r="Z21" s="35" t="e">
        <f t="shared" si="12"/>
        <v>#DIV/0!</v>
      </c>
      <c r="AA21" s="207"/>
      <c r="AB21" s="215"/>
      <c r="AC21" s="77"/>
    </row>
    <row r="22" spans="2:29" x14ac:dyDescent="0.15">
      <c r="B22" s="26"/>
      <c r="C22" s="27"/>
      <c r="D22" s="40"/>
      <c r="E22" s="71"/>
      <c r="F22" s="71"/>
      <c r="G22" s="71"/>
      <c r="H22" s="39"/>
      <c r="I22" s="40"/>
      <c r="J22" s="41"/>
      <c r="K22" s="27"/>
      <c r="L22" s="27"/>
      <c r="M22" s="43" t="e">
        <f t="shared" si="8"/>
        <v>#DIV/0!</v>
      </c>
      <c r="N22" s="37"/>
      <c r="O22" s="38" t="e">
        <f t="shared" si="9"/>
        <v>#DIV/0!</v>
      </c>
      <c r="P22" s="72">
        <f>J22-V22</f>
        <v>0</v>
      </c>
      <c r="Q22" s="73" t="e">
        <f t="shared" si="10"/>
        <v>#DIV/0!</v>
      </c>
      <c r="R22" s="23"/>
      <c r="S22" s="74" t="e">
        <f t="shared" si="13"/>
        <v>#DIV/0!</v>
      </c>
      <c r="T22" s="75"/>
      <c r="U22" s="76" t="e">
        <f>(((S22)*(100-Q22))/(Y22*R22))*100</f>
        <v>#DIV/0!</v>
      </c>
      <c r="V22" s="34"/>
      <c r="W22" s="34"/>
      <c r="X22" s="34"/>
      <c r="Y22" s="35" t="e">
        <f t="shared" si="11"/>
        <v>#DIV/0!</v>
      </c>
      <c r="Z22" s="35" t="e">
        <f t="shared" si="12"/>
        <v>#DIV/0!</v>
      </c>
      <c r="AA22" s="207"/>
      <c r="AB22" s="215"/>
      <c r="AC22" s="77"/>
    </row>
    <row r="23" spans="2:29" x14ac:dyDescent="0.15">
      <c r="B23" s="26"/>
      <c r="C23" s="27"/>
      <c r="D23" s="40"/>
      <c r="E23" s="71"/>
      <c r="F23" s="71"/>
      <c r="G23" s="71"/>
      <c r="H23" s="39"/>
      <c r="I23" s="40"/>
      <c r="J23" s="41"/>
      <c r="K23" s="27"/>
      <c r="L23" s="27"/>
      <c r="M23" s="43" t="e">
        <f t="shared" si="8"/>
        <v>#DIV/0!</v>
      </c>
      <c r="N23" s="37"/>
      <c r="O23" s="38" t="e">
        <f t="shared" si="9"/>
        <v>#DIV/0!</v>
      </c>
      <c r="P23" s="72">
        <f>J23-V23</f>
        <v>0</v>
      </c>
      <c r="Q23" s="73" t="e">
        <f t="shared" si="10"/>
        <v>#DIV/0!</v>
      </c>
      <c r="R23" s="23"/>
      <c r="S23" s="74" t="e">
        <f t="shared" si="13"/>
        <v>#DIV/0!</v>
      </c>
      <c r="T23" s="75"/>
      <c r="U23" s="76" t="e">
        <f>(((S23)*(100-Q23))/(Y23*R23))*100</f>
        <v>#DIV/0!</v>
      </c>
      <c r="V23" s="34"/>
      <c r="W23" s="34"/>
      <c r="X23" s="34"/>
      <c r="Y23" s="35" t="e">
        <f t="shared" si="11"/>
        <v>#DIV/0!</v>
      </c>
      <c r="Z23" s="35" t="e">
        <f t="shared" si="12"/>
        <v>#DIV/0!</v>
      </c>
      <c r="AA23" s="207"/>
      <c r="AB23" s="215"/>
      <c r="AC23" s="77"/>
    </row>
    <row r="24" spans="2:29" x14ac:dyDescent="0.15">
      <c r="B24" s="26"/>
      <c r="C24" s="27"/>
      <c r="D24" s="40"/>
      <c r="E24" s="71"/>
      <c r="F24" s="71"/>
      <c r="G24" s="71"/>
      <c r="H24" s="39"/>
      <c r="I24" s="40"/>
      <c r="J24" s="41"/>
      <c r="K24" s="27"/>
      <c r="L24" s="27"/>
      <c r="M24" s="43" t="e">
        <f t="shared" si="8"/>
        <v>#DIV/0!</v>
      </c>
      <c r="N24" s="37"/>
      <c r="O24" s="38" t="e">
        <f t="shared" si="9"/>
        <v>#DIV/0!</v>
      </c>
      <c r="P24" s="72">
        <f>J24-V24</f>
        <v>0</v>
      </c>
      <c r="Q24" s="73" t="e">
        <f t="shared" si="10"/>
        <v>#DIV/0!</v>
      </c>
      <c r="R24" s="23"/>
      <c r="S24" s="74" t="e">
        <f t="shared" si="13"/>
        <v>#DIV/0!</v>
      </c>
      <c r="T24" s="75"/>
      <c r="U24" s="76" t="e">
        <f>(((S24)*(100-Q24))/(Y24*R24))*100</f>
        <v>#DIV/0!</v>
      </c>
      <c r="V24" s="34"/>
      <c r="W24" s="34"/>
      <c r="X24" s="34"/>
      <c r="Y24" s="35" t="e">
        <f t="shared" si="11"/>
        <v>#DIV/0!</v>
      </c>
      <c r="Z24" s="35" t="e">
        <f t="shared" si="12"/>
        <v>#DIV/0!</v>
      </c>
      <c r="AA24" s="207"/>
      <c r="AB24" s="215"/>
      <c r="AC24" s="77"/>
    </row>
    <row r="25" spans="2:29" x14ac:dyDescent="0.15">
      <c r="B25" s="26"/>
      <c r="C25" s="27"/>
      <c r="D25" s="40"/>
      <c r="E25" s="71"/>
      <c r="F25" s="71"/>
      <c r="G25" s="71"/>
      <c r="H25" s="39"/>
      <c r="I25" s="40"/>
      <c r="J25" s="41"/>
      <c r="K25" s="27"/>
      <c r="L25" s="27"/>
      <c r="M25" s="43" t="e">
        <f t="shared" si="8"/>
        <v>#DIV/0!</v>
      </c>
      <c r="N25" s="37"/>
      <c r="O25" s="38" t="e">
        <f t="shared" si="9"/>
        <v>#DIV/0!</v>
      </c>
      <c r="P25" s="72">
        <f>J25-V25</f>
        <v>0</v>
      </c>
      <c r="Q25" s="73" t="e">
        <f t="shared" si="10"/>
        <v>#DIV/0!</v>
      </c>
      <c r="R25" s="23"/>
      <c r="S25" s="74" t="e">
        <f t="shared" si="13"/>
        <v>#DIV/0!</v>
      </c>
      <c r="T25" s="75"/>
      <c r="U25" s="76" t="e">
        <f>(((S25)*(100-Q25))/(Y25*R25))*100</f>
        <v>#DIV/0!</v>
      </c>
      <c r="V25" s="34"/>
      <c r="W25" s="34"/>
      <c r="X25" s="34"/>
      <c r="Y25" s="35" t="e">
        <f t="shared" si="11"/>
        <v>#DIV/0!</v>
      </c>
      <c r="Z25" s="35" t="e">
        <f t="shared" si="12"/>
        <v>#DIV/0!</v>
      </c>
      <c r="AA25" s="207"/>
      <c r="AB25" s="215"/>
      <c r="AC25" s="77"/>
    </row>
    <row r="26" spans="2:29" x14ac:dyDescent="0.15">
      <c r="B26" s="26"/>
      <c r="C26" s="27"/>
      <c r="D26" s="40"/>
      <c r="E26" s="71"/>
      <c r="F26" s="71"/>
      <c r="G26" s="71"/>
      <c r="H26" s="39"/>
      <c r="I26" s="40"/>
      <c r="J26" s="41"/>
      <c r="K26" s="27"/>
      <c r="L26" s="27"/>
      <c r="M26" s="43" t="e">
        <f t="shared" si="8"/>
        <v>#DIV/0!</v>
      </c>
      <c r="N26" s="37"/>
      <c r="O26" s="38" t="e">
        <f t="shared" si="9"/>
        <v>#DIV/0!</v>
      </c>
      <c r="P26" s="72">
        <f>J26-V26</f>
        <v>0</v>
      </c>
      <c r="Q26" s="73" t="e">
        <f t="shared" si="10"/>
        <v>#DIV/0!</v>
      </c>
      <c r="R26" s="23"/>
      <c r="S26" s="74" t="e">
        <f t="shared" si="13"/>
        <v>#DIV/0!</v>
      </c>
      <c r="T26" s="75"/>
      <c r="U26" s="76" t="e">
        <f>(((S26)*(100-Q26))/(Y26*R26))*100</f>
        <v>#DIV/0!</v>
      </c>
      <c r="V26" s="34"/>
      <c r="W26" s="34"/>
      <c r="X26" s="34"/>
      <c r="Y26" s="35" t="e">
        <f t="shared" si="11"/>
        <v>#DIV/0!</v>
      </c>
      <c r="Z26" s="35" t="e">
        <f t="shared" si="12"/>
        <v>#DIV/0!</v>
      </c>
      <c r="AA26" s="207"/>
      <c r="AB26" s="215"/>
      <c r="AC26" s="77"/>
    </row>
    <row r="27" spans="2:29" x14ac:dyDescent="0.15">
      <c r="B27" s="26"/>
      <c r="C27" s="27"/>
      <c r="D27" s="40"/>
      <c r="E27" s="71"/>
      <c r="F27" s="71"/>
      <c r="G27" s="71"/>
      <c r="H27" s="39"/>
      <c r="I27" s="40"/>
      <c r="J27" s="41"/>
      <c r="K27" s="27"/>
      <c r="L27" s="27"/>
      <c r="M27" s="43" t="e">
        <f t="shared" si="8"/>
        <v>#DIV/0!</v>
      </c>
      <c r="N27" s="37"/>
      <c r="O27" s="38" t="e">
        <f t="shared" si="9"/>
        <v>#DIV/0!</v>
      </c>
      <c r="P27" s="72">
        <f>J27-V27</f>
        <v>0</v>
      </c>
      <c r="Q27" s="73" t="e">
        <f t="shared" si="10"/>
        <v>#DIV/0!</v>
      </c>
      <c r="R27" s="23"/>
      <c r="S27" s="74" t="e">
        <f t="shared" si="13"/>
        <v>#DIV/0!</v>
      </c>
      <c r="T27" s="75"/>
      <c r="U27" s="76" t="e">
        <f>(((S27)*(100-Q27))/(Y27*R27))*100</f>
        <v>#DIV/0!</v>
      </c>
      <c r="V27" s="34"/>
      <c r="W27" s="34"/>
      <c r="X27" s="34"/>
      <c r="Y27" s="35" t="e">
        <f t="shared" si="11"/>
        <v>#DIV/0!</v>
      </c>
      <c r="Z27" s="35" t="e">
        <f t="shared" si="12"/>
        <v>#DIV/0!</v>
      </c>
      <c r="AA27" s="207"/>
      <c r="AB27" s="215"/>
      <c r="AC27" s="77"/>
    </row>
    <row r="28" spans="2:29" s="204" customFormat="1" ht="14.25" thickBot="1" x14ac:dyDescent="0.2">
      <c r="B28" s="45"/>
      <c r="C28" s="46"/>
      <c r="D28" s="44"/>
      <c r="E28" s="128"/>
      <c r="F28" s="128"/>
      <c r="G28" s="128"/>
      <c r="H28" s="97"/>
      <c r="I28" s="44"/>
      <c r="J28" s="98"/>
      <c r="K28" s="46"/>
      <c r="L28" s="46"/>
      <c r="M28" s="48" t="e">
        <f t="shared" si="8"/>
        <v>#DIV/0!</v>
      </c>
      <c r="N28" s="100"/>
      <c r="O28" s="101" t="e">
        <f t="shared" si="9"/>
        <v>#DIV/0!</v>
      </c>
      <c r="P28" s="129">
        <f>J28-V28</f>
        <v>0</v>
      </c>
      <c r="Q28" s="130" t="e">
        <f t="shared" si="10"/>
        <v>#DIV/0!</v>
      </c>
      <c r="R28" s="131"/>
      <c r="S28" s="132" t="e">
        <f t="shared" si="13"/>
        <v>#DIV/0!</v>
      </c>
      <c r="T28" s="133"/>
      <c r="U28" s="134" t="e">
        <f>(((S28)*(100-Q28))/(Y28*R28))*100</f>
        <v>#DIV/0!</v>
      </c>
      <c r="V28" s="107"/>
      <c r="W28" s="107"/>
      <c r="X28" s="107"/>
      <c r="Y28" s="108" t="e">
        <f t="shared" si="11"/>
        <v>#DIV/0!</v>
      </c>
      <c r="Z28" s="108" t="e">
        <f t="shared" si="12"/>
        <v>#DIV/0!</v>
      </c>
      <c r="AA28" s="212"/>
      <c r="AB28" s="222"/>
      <c r="AC28" s="186"/>
    </row>
    <row r="29" spans="2:29" ht="14.25" thickBot="1" x14ac:dyDescent="0.2">
      <c r="B29" s="78"/>
      <c r="C29" s="79"/>
      <c r="D29" s="80"/>
      <c r="E29" s="80"/>
      <c r="F29" s="80"/>
      <c r="G29" s="80"/>
      <c r="H29" s="81">
        <f>SUM(H20:H28)</f>
        <v>0</v>
      </c>
      <c r="I29" s="80"/>
      <c r="J29" s="82">
        <f>SUM(J20:J28)</f>
        <v>0</v>
      </c>
      <c r="K29" s="83"/>
      <c r="L29" s="84"/>
      <c r="M29" s="85" t="e">
        <f t="shared" si="8"/>
        <v>#DIV/0!</v>
      </c>
      <c r="N29" s="135">
        <f>SUM(N20:N28)</f>
        <v>0</v>
      </c>
      <c r="O29" s="136" t="e">
        <f t="shared" si="9"/>
        <v>#DIV/0!</v>
      </c>
      <c r="P29" s="88">
        <f>SUM(P20:P28)</f>
        <v>0</v>
      </c>
      <c r="Q29" s="89" t="e">
        <f t="shared" si="10"/>
        <v>#DIV/0!</v>
      </c>
      <c r="R29" s="90" t="e">
        <f>AVERAGE(R20:R28)</f>
        <v>#DIV/0!</v>
      </c>
      <c r="S29" s="91" t="e">
        <f>W29/V29</f>
        <v>#DIV/0!</v>
      </c>
      <c r="T29" s="92" t="e">
        <f>AVERAGE(T20:T28)</f>
        <v>#DIV/0!</v>
      </c>
      <c r="U29" s="93" t="e">
        <f>(((S29)*(100-Q29))/(Y29*R29))*100</f>
        <v>#DIV/0!</v>
      </c>
      <c r="V29" s="82">
        <f>J29-P29</f>
        <v>0</v>
      </c>
      <c r="W29" s="82">
        <f>SUM(W20:W28)</f>
        <v>0</v>
      </c>
      <c r="X29" s="82">
        <f>SUM(X20:X28)</f>
        <v>0</v>
      </c>
      <c r="Y29" s="94" t="e">
        <f>X29/W29</f>
        <v>#DIV/0!</v>
      </c>
      <c r="Z29" s="85" t="e">
        <f>W29/X29*100</f>
        <v>#DIV/0!</v>
      </c>
      <c r="AA29" s="209"/>
      <c r="AB29" s="217"/>
      <c r="AC29" s="95"/>
    </row>
  </sheetData>
  <mergeCells count="4">
    <mergeCell ref="N2:O2"/>
    <mergeCell ref="P2:Z2"/>
    <mergeCell ref="N18:O18"/>
    <mergeCell ref="P18:Z1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39F9-82C5-443B-8F99-B2ECC9992796}">
  <dimension ref="A1:AD29"/>
  <sheetViews>
    <sheetView tabSelected="1" workbookViewId="0">
      <selection activeCell="AC32" sqref="AC32"/>
    </sheetView>
  </sheetViews>
  <sheetFormatPr defaultColWidth="8.875" defaultRowHeight="13.5" x14ac:dyDescent="0.15"/>
  <cols>
    <col min="1" max="1" width="1.34375" style="1" customWidth="1"/>
    <col min="2" max="2" width="22.05859375" style="1" customWidth="1"/>
    <col min="3" max="3" width="17.62109375" style="1" customWidth="1"/>
    <col min="4" max="4" width="11.8359375" style="1" customWidth="1"/>
    <col min="5" max="7" width="10.4921875" style="1" customWidth="1"/>
    <col min="8" max="8" width="9.01171875" style="2" bestFit="1" customWidth="1"/>
    <col min="9" max="9" width="12.64453125" style="2" customWidth="1"/>
    <col min="10" max="10" width="12.10546875" style="2" customWidth="1"/>
    <col min="11" max="11" width="14.390625" style="3" customWidth="1"/>
    <col min="12" max="12" width="20.71484375" style="3" customWidth="1"/>
    <col min="13" max="13" width="11.56640625" style="2" customWidth="1"/>
    <col min="14" max="14" width="10.625" style="2" customWidth="1"/>
    <col min="15" max="15" width="9.14453125" style="2" customWidth="1"/>
    <col min="16" max="16" width="13.5859375" style="2" customWidth="1"/>
    <col min="17" max="17" width="10.625" style="2" customWidth="1"/>
    <col min="18" max="18" width="13.046875" style="2" customWidth="1"/>
    <col min="19" max="19" width="9.81640625" style="2" customWidth="1"/>
    <col min="20" max="20" width="9.01171875" style="2" bestFit="1" customWidth="1"/>
    <col min="21" max="21" width="10.89453125" style="2" customWidth="1"/>
    <col min="22" max="22" width="13.44921875" style="2" customWidth="1"/>
    <col min="23" max="23" width="14.9296875" style="2" customWidth="1"/>
    <col min="24" max="24" width="13.5859375" style="2" customWidth="1"/>
    <col min="25" max="25" width="11.56640625" style="2" customWidth="1"/>
    <col min="26" max="26" width="12.5078125" style="2" customWidth="1"/>
    <col min="27" max="27" width="25.9609375" style="2" customWidth="1"/>
    <col min="28" max="28" width="16.8125" style="3" customWidth="1"/>
    <col min="29" max="29" width="86.49609375" style="1" customWidth="1"/>
    <col min="30" max="16384" width="8.875" style="1"/>
  </cols>
  <sheetData>
    <row r="1" spans="1:30" ht="14.25" thickBot="1" x14ac:dyDescent="0.2"/>
    <row r="2" spans="1:30" ht="14.25" thickBot="1" x14ac:dyDescent="0.2">
      <c r="B2" s="4" t="s">
        <v>0</v>
      </c>
      <c r="C2" s="5"/>
      <c r="D2" s="6">
        <v>46082</v>
      </c>
      <c r="E2" s="7"/>
      <c r="F2" s="7"/>
      <c r="G2" s="7"/>
      <c r="H2" s="8"/>
      <c r="N2" s="260" t="s">
        <v>1</v>
      </c>
      <c r="O2" s="261"/>
      <c r="P2" s="262" t="s">
        <v>2</v>
      </c>
      <c r="Q2" s="263"/>
      <c r="R2" s="263"/>
      <c r="S2" s="263"/>
      <c r="T2" s="263"/>
      <c r="U2" s="263"/>
      <c r="V2" s="263"/>
      <c r="W2" s="263"/>
      <c r="X2" s="263"/>
      <c r="Y2" s="263"/>
      <c r="Z2" s="264"/>
      <c r="AA2" s="205"/>
      <c r="AB2" s="213"/>
    </row>
    <row r="3" spans="1:30" s="238" customFormat="1" ht="34.9" customHeight="1" thickBot="1" x14ac:dyDescent="0.2">
      <c r="B3" s="223" t="s">
        <v>3</v>
      </c>
      <c r="C3" s="237" t="s">
        <v>4</v>
      </c>
      <c r="D3" s="224" t="s">
        <v>5</v>
      </c>
      <c r="E3" s="225" t="s">
        <v>6</v>
      </c>
      <c r="F3" s="225" t="s">
        <v>7</v>
      </c>
      <c r="G3" s="225" t="s">
        <v>8</v>
      </c>
      <c r="H3" s="224" t="s">
        <v>9</v>
      </c>
      <c r="I3" s="224" t="s">
        <v>10</v>
      </c>
      <c r="J3" s="224" t="s">
        <v>11</v>
      </c>
      <c r="K3" s="226" t="s">
        <v>12</v>
      </c>
      <c r="L3" s="226" t="s">
        <v>13</v>
      </c>
      <c r="M3" s="227" t="s">
        <v>14</v>
      </c>
      <c r="N3" s="228" t="s">
        <v>15</v>
      </c>
      <c r="O3" s="228" t="s">
        <v>16</v>
      </c>
      <c r="P3" s="229" t="s">
        <v>17</v>
      </c>
      <c r="Q3" s="229" t="s">
        <v>18</v>
      </c>
      <c r="R3" s="224" t="s">
        <v>19</v>
      </c>
      <c r="S3" s="230" t="s">
        <v>20</v>
      </c>
      <c r="T3" s="231" t="s">
        <v>21</v>
      </c>
      <c r="U3" s="231" t="s">
        <v>22</v>
      </c>
      <c r="V3" s="224" t="s">
        <v>23</v>
      </c>
      <c r="W3" s="232" t="s">
        <v>24</v>
      </c>
      <c r="X3" s="224" t="s">
        <v>25</v>
      </c>
      <c r="Y3" s="233" t="s">
        <v>26</v>
      </c>
      <c r="Z3" s="224" t="s">
        <v>27</v>
      </c>
      <c r="AA3" s="234" t="s">
        <v>35</v>
      </c>
      <c r="AB3" s="235" t="s">
        <v>34</v>
      </c>
      <c r="AC3" s="236" t="s">
        <v>28</v>
      </c>
    </row>
    <row r="4" spans="1:30" x14ac:dyDescent="0.15">
      <c r="B4" s="139"/>
      <c r="C4" s="138"/>
      <c r="D4" s="141"/>
      <c r="E4" s="174"/>
      <c r="F4" s="174"/>
      <c r="G4" s="28">
        <f t="shared" ref="G4:G15" si="0">F4-E4</f>
        <v>0</v>
      </c>
      <c r="H4" s="140"/>
      <c r="I4" s="141"/>
      <c r="J4" s="142"/>
      <c r="K4" s="197"/>
      <c r="L4" s="198"/>
      <c r="M4" s="195" t="e">
        <f>J4/H4</f>
        <v>#DIV/0!</v>
      </c>
      <c r="N4" s="199"/>
      <c r="O4" s="196" t="e">
        <f>N4/J4*100</f>
        <v>#DIV/0!</v>
      </c>
      <c r="P4" s="200"/>
      <c r="Q4" s="201" t="e">
        <f>P4/J4*100</f>
        <v>#DIV/0!</v>
      </c>
      <c r="R4" s="173">
        <f t="shared" ref="R4:R13" si="1">D4-I4</f>
        <v>0</v>
      </c>
      <c r="S4" s="178"/>
      <c r="T4" s="179"/>
      <c r="U4" s="177" t="e">
        <f>S4/T4*100</f>
        <v>#DIV/0!</v>
      </c>
      <c r="V4" s="144">
        <f>J4-P4</f>
        <v>0</v>
      </c>
      <c r="W4" s="144">
        <f>(S4*V4)/1000</f>
        <v>0</v>
      </c>
      <c r="X4" s="144"/>
      <c r="Y4" s="143" t="e">
        <f>X4/W4</f>
        <v>#DIV/0!</v>
      </c>
      <c r="Z4" s="143" t="e">
        <f>W4/X4</f>
        <v>#DIV/0!</v>
      </c>
      <c r="AA4" s="206"/>
      <c r="AB4" s="214"/>
      <c r="AC4" s="176"/>
    </row>
    <row r="5" spans="1:30" x14ac:dyDescent="0.15">
      <c r="B5" s="26"/>
      <c r="C5" s="27"/>
      <c r="D5" s="40"/>
      <c r="E5" s="28"/>
      <c r="F5" s="28"/>
      <c r="G5" s="28">
        <f t="shared" si="0"/>
        <v>0</v>
      </c>
      <c r="H5" s="39"/>
      <c r="I5" s="40"/>
      <c r="J5" s="41"/>
      <c r="K5" s="191"/>
      <c r="L5" s="191"/>
      <c r="M5" s="192" t="e">
        <f>J5/H5</f>
        <v>#DIV/0!</v>
      </c>
      <c r="N5" s="193"/>
      <c r="O5" s="194" t="e">
        <f>N5/J5*100</f>
        <v>#DIV/0!</v>
      </c>
      <c r="P5" s="202"/>
      <c r="Q5" s="203" t="e">
        <f>P5/J5*100</f>
        <v>#DIV/0!</v>
      </c>
      <c r="R5" s="23">
        <f t="shared" si="1"/>
        <v>0</v>
      </c>
      <c r="S5" s="31"/>
      <c r="T5" s="32"/>
      <c r="U5" s="33" t="e">
        <f>S5/T5*100</f>
        <v>#DIV/0!</v>
      </c>
      <c r="V5" s="34">
        <f>J5-P5</f>
        <v>0</v>
      </c>
      <c r="W5" s="34">
        <f>(S5*V5)/1000</f>
        <v>0</v>
      </c>
      <c r="X5" s="34"/>
      <c r="Y5" s="35" t="e">
        <f>X5/W5</f>
        <v>#DIV/0!</v>
      </c>
      <c r="Z5" s="35" t="e">
        <f>W5/X5</f>
        <v>#DIV/0!</v>
      </c>
      <c r="AA5" s="207"/>
      <c r="AB5" s="215"/>
      <c r="AC5" s="36"/>
    </row>
    <row r="6" spans="1:30" x14ac:dyDescent="0.15">
      <c r="B6" s="26"/>
      <c r="C6" s="27"/>
      <c r="D6" s="40"/>
      <c r="E6" s="28"/>
      <c r="F6" s="28"/>
      <c r="G6" s="28">
        <f t="shared" si="0"/>
        <v>0</v>
      </c>
      <c r="H6" s="39"/>
      <c r="I6" s="40"/>
      <c r="J6" s="41"/>
      <c r="K6" s="191"/>
      <c r="L6" s="191"/>
      <c r="M6" s="192" t="e">
        <f>J6/H6</f>
        <v>#DIV/0!</v>
      </c>
      <c r="N6" s="193"/>
      <c r="O6" s="194" t="e">
        <f>N6/J6*100</f>
        <v>#DIV/0!</v>
      </c>
      <c r="P6" s="202"/>
      <c r="Q6" s="203" t="e">
        <f>P6/J6*100</f>
        <v>#DIV/0!</v>
      </c>
      <c r="R6" s="23">
        <f t="shared" si="1"/>
        <v>0</v>
      </c>
      <c r="S6" s="31"/>
      <c r="T6" s="32"/>
      <c r="U6" s="33" t="e">
        <f>S6/T6*100</f>
        <v>#DIV/0!</v>
      </c>
      <c r="V6" s="34">
        <f>J6-P6</f>
        <v>0</v>
      </c>
      <c r="W6" s="34">
        <f>(S6*V6)/1000</f>
        <v>0</v>
      </c>
      <c r="X6" s="34"/>
      <c r="Y6" s="35" t="e">
        <f>X6/W6</f>
        <v>#DIV/0!</v>
      </c>
      <c r="Z6" s="35" t="e">
        <f>W6/X6</f>
        <v>#DIV/0!</v>
      </c>
      <c r="AA6" s="207"/>
      <c r="AB6" s="215"/>
      <c r="AC6" s="36"/>
    </row>
    <row r="7" spans="1:30" x14ac:dyDescent="0.15">
      <c r="B7" s="26"/>
      <c r="C7" s="27"/>
      <c r="D7" s="40"/>
      <c r="E7" s="28"/>
      <c r="F7" s="28"/>
      <c r="G7" s="28">
        <f t="shared" si="0"/>
        <v>0</v>
      </c>
      <c r="H7" s="39"/>
      <c r="I7" s="40"/>
      <c r="J7" s="41"/>
      <c r="K7" s="191"/>
      <c r="L7" s="191"/>
      <c r="M7" s="192" t="e">
        <f>J7/H7</f>
        <v>#DIV/0!</v>
      </c>
      <c r="N7" s="193"/>
      <c r="O7" s="194" t="e">
        <f>N7/J7*100</f>
        <v>#DIV/0!</v>
      </c>
      <c r="P7" s="202"/>
      <c r="Q7" s="203" t="e">
        <f>P7/J7*100</f>
        <v>#DIV/0!</v>
      </c>
      <c r="R7" s="23">
        <f t="shared" si="1"/>
        <v>0</v>
      </c>
      <c r="S7" s="31"/>
      <c r="T7" s="32"/>
      <c r="U7" s="33" t="e">
        <f>S7/T7*100</f>
        <v>#DIV/0!</v>
      </c>
      <c r="V7" s="34">
        <f>J7-P7</f>
        <v>0</v>
      </c>
      <c r="W7" s="34">
        <f>(S7*V7)/1000</f>
        <v>0</v>
      </c>
      <c r="X7" s="34"/>
      <c r="Y7" s="35" t="e">
        <f>X7/W7</f>
        <v>#DIV/0!</v>
      </c>
      <c r="Z7" s="35" t="e">
        <f>W7/X7</f>
        <v>#DIV/0!</v>
      </c>
      <c r="AA7" s="207"/>
      <c r="AB7" s="215"/>
      <c r="AC7" s="36"/>
    </row>
    <row r="8" spans="1:30" x14ac:dyDescent="0.15">
      <c r="B8" s="26"/>
      <c r="C8" s="27"/>
      <c r="D8" s="40"/>
      <c r="E8" s="28"/>
      <c r="F8" s="28"/>
      <c r="G8" s="28">
        <f t="shared" si="0"/>
        <v>0</v>
      </c>
      <c r="H8" s="39"/>
      <c r="I8" s="40"/>
      <c r="J8" s="41"/>
      <c r="K8" s="191"/>
      <c r="L8" s="191"/>
      <c r="M8" s="192" t="e">
        <f>J8/H8</f>
        <v>#DIV/0!</v>
      </c>
      <c r="N8" s="193"/>
      <c r="O8" s="194" t="e">
        <f>N8/J8*100</f>
        <v>#DIV/0!</v>
      </c>
      <c r="P8" s="202"/>
      <c r="Q8" s="203" t="e">
        <f>P8/J8*100</f>
        <v>#DIV/0!</v>
      </c>
      <c r="R8" s="23">
        <f t="shared" si="1"/>
        <v>0</v>
      </c>
      <c r="S8" s="31"/>
      <c r="T8" s="32"/>
      <c r="U8" s="33" t="e">
        <f>S8/T8*100</f>
        <v>#DIV/0!</v>
      </c>
      <c r="V8" s="34">
        <f>J8-P8</f>
        <v>0</v>
      </c>
      <c r="W8" s="34">
        <f>(S8*V8)/1000</f>
        <v>0</v>
      </c>
      <c r="X8" s="34"/>
      <c r="Y8" s="35" t="e">
        <f>X8/W8</f>
        <v>#DIV/0!</v>
      </c>
      <c r="Z8" s="35" t="e">
        <f>W8/X8</f>
        <v>#DIV/0!</v>
      </c>
      <c r="AA8" s="207"/>
      <c r="AB8" s="215"/>
      <c r="AC8" s="36"/>
    </row>
    <row r="9" spans="1:30" x14ac:dyDescent="0.15">
      <c r="B9" s="26"/>
      <c r="C9" s="27"/>
      <c r="D9" s="40"/>
      <c r="E9" s="28"/>
      <c r="F9" s="28"/>
      <c r="G9" s="28">
        <f t="shared" si="0"/>
        <v>0</v>
      </c>
      <c r="H9" s="39"/>
      <c r="I9" s="40"/>
      <c r="J9" s="41"/>
      <c r="K9" s="42"/>
      <c r="L9" s="42"/>
      <c r="M9" s="43" t="e">
        <f t="shared" ref="M9:M16" si="2">J9/H9</f>
        <v>#DIV/0!</v>
      </c>
      <c r="N9" s="37"/>
      <c r="O9" s="38" t="e">
        <f t="shared" ref="O9:O15" si="3">N9/J9*100</f>
        <v>#DIV/0!</v>
      </c>
      <c r="P9" s="29"/>
      <c r="Q9" s="30" t="e">
        <f t="shared" ref="Q9:Q16" si="4">P9/J9*100</f>
        <v>#DIV/0!</v>
      </c>
      <c r="R9" s="23">
        <f t="shared" si="1"/>
        <v>0</v>
      </c>
      <c r="S9" s="31"/>
      <c r="T9" s="32"/>
      <c r="U9" s="33" t="e">
        <f t="shared" ref="U9:U16" si="5">S9/T9*100</f>
        <v>#DIV/0!</v>
      </c>
      <c r="V9" s="34">
        <f>J9-P9</f>
        <v>0</v>
      </c>
      <c r="W9" s="34">
        <f>(S9*V9)/1000</f>
        <v>0</v>
      </c>
      <c r="X9" s="34"/>
      <c r="Y9" s="35" t="e">
        <f t="shared" ref="Y9:Y16" si="6">X9/W9</f>
        <v>#DIV/0!</v>
      </c>
      <c r="Z9" s="35" t="e">
        <f t="shared" ref="Z9:Z16" si="7">W9/X9</f>
        <v>#DIV/0!</v>
      </c>
      <c r="AA9" s="207"/>
      <c r="AB9" s="215"/>
      <c r="AC9" s="36"/>
    </row>
    <row r="10" spans="1:30" x14ac:dyDescent="0.15">
      <c r="B10" s="26"/>
      <c r="C10" s="27"/>
      <c r="D10" s="40"/>
      <c r="E10" s="28"/>
      <c r="F10" s="28"/>
      <c r="G10" s="28">
        <f t="shared" si="0"/>
        <v>0</v>
      </c>
      <c r="H10" s="39"/>
      <c r="I10" s="40"/>
      <c r="J10" s="41"/>
      <c r="K10" s="42"/>
      <c r="L10" s="42"/>
      <c r="M10" s="43" t="e">
        <f t="shared" si="2"/>
        <v>#DIV/0!</v>
      </c>
      <c r="N10" s="37"/>
      <c r="O10" s="38" t="e">
        <f t="shared" si="3"/>
        <v>#DIV/0!</v>
      </c>
      <c r="P10" s="29"/>
      <c r="Q10" s="30" t="e">
        <f t="shared" si="4"/>
        <v>#DIV/0!</v>
      </c>
      <c r="R10" s="23">
        <f t="shared" si="1"/>
        <v>0</v>
      </c>
      <c r="S10" s="31"/>
      <c r="T10" s="32"/>
      <c r="U10" s="33" t="e">
        <f t="shared" si="5"/>
        <v>#DIV/0!</v>
      </c>
      <c r="V10" s="34">
        <f>J10-P10</f>
        <v>0</v>
      </c>
      <c r="W10" s="34">
        <f>(S10*V10)/1000</f>
        <v>0</v>
      </c>
      <c r="X10" s="34"/>
      <c r="Y10" s="35" t="e">
        <f t="shared" si="6"/>
        <v>#DIV/0!</v>
      </c>
      <c r="Z10" s="35" t="e">
        <f t="shared" si="7"/>
        <v>#DIV/0!</v>
      </c>
      <c r="AA10" s="207"/>
      <c r="AB10" s="215"/>
      <c r="AC10" s="36"/>
    </row>
    <row r="11" spans="1:30" x14ac:dyDescent="0.15">
      <c r="B11" s="26"/>
      <c r="C11" s="27"/>
      <c r="D11" s="40"/>
      <c r="E11" s="28"/>
      <c r="F11" s="28"/>
      <c r="G11" s="28">
        <f t="shared" si="0"/>
        <v>0</v>
      </c>
      <c r="H11" s="39"/>
      <c r="I11" s="40"/>
      <c r="J11" s="41"/>
      <c r="K11" s="42"/>
      <c r="L11" s="42"/>
      <c r="M11" s="43" t="e">
        <f t="shared" si="2"/>
        <v>#DIV/0!</v>
      </c>
      <c r="N11" s="37"/>
      <c r="O11" s="38" t="e">
        <f t="shared" si="3"/>
        <v>#DIV/0!</v>
      </c>
      <c r="P11" s="29"/>
      <c r="Q11" s="30" t="e">
        <f t="shared" si="4"/>
        <v>#DIV/0!</v>
      </c>
      <c r="R11" s="23">
        <f t="shared" si="1"/>
        <v>0</v>
      </c>
      <c r="S11" s="31"/>
      <c r="T11" s="32"/>
      <c r="U11" s="33" t="e">
        <f t="shared" si="5"/>
        <v>#DIV/0!</v>
      </c>
      <c r="V11" s="34">
        <f>J11-P11</f>
        <v>0</v>
      </c>
      <c r="W11" s="34">
        <f>(S11*V11)/1000</f>
        <v>0</v>
      </c>
      <c r="X11" s="34"/>
      <c r="Y11" s="35" t="e">
        <f t="shared" si="6"/>
        <v>#DIV/0!</v>
      </c>
      <c r="Z11" s="35" t="e">
        <f t="shared" si="7"/>
        <v>#DIV/0!</v>
      </c>
      <c r="AA11" s="207"/>
      <c r="AB11" s="215"/>
      <c r="AC11" s="36"/>
    </row>
    <row r="12" spans="1:30" x14ac:dyDescent="0.15">
      <c r="B12" s="26"/>
      <c r="C12" s="27"/>
      <c r="D12" s="40"/>
      <c r="E12" s="28"/>
      <c r="F12" s="28"/>
      <c r="G12" s="28">
        <f t="shared" si="0"/>
        <v>0</v>
      </c>
      <c r="H12" s="39"/>
      <c r="I12" s="40"/>
      <c r="J12" s="41"/>
      <c r="K12" s="42"/>
      <c r="L12" s="42"/>
      <c r="M12" s="43" t="e">
        <f t="shared" si="2"/>
        <v>#DIV/0!</v>
      </c>
      <c r="N12" s="37"/>
      <c r="O12" s="38" t="e">
        <f t="shared" si="3"/>
        <v>#DIV/0!</v>
      </c>
      <c r="P12" s="29"/>
      <c r="Q12" s="30" t="e">
        <f t="shared" si="4"/>
        <v>#DIV/0!</v>
      </c>
      <c r="R12" s="23">
        <f t="shared" si="1"/>
        <v>0</v>
      </c>
      <c r="S12" s="31"/>
      <c r="T12" s="32"/>
      <c r="U12" s="33" t="e">
        <f t="shared" si="5"/>
        <v>#DIV/0!</v>
      </c>
      <c r="V12" s="34">
        <f>J12-P12</f>
        <v>0</v>
      </c>
      <c r="W12" s="34">
        <f>(S12*V12)/1000</f>
        <v>0</v>
      </c>
      <c r="X12" s="34"/>
      <c r="Y12" s="35" t="e">
        <f t="shared" si="6"/>
        <v>#DIV/0!</v>
      </c>
      <c r="Z12" s="35" t="e">
        <f t="shared" si="7"/>
        <v>#DIV/0!</v>
      </c>
      <c r="AA12" s="207"/>
      <c r="AB12" s="215"/>
      <c r="AC12" s="36"/>
    </row>
    <row r="13" spans="1:30" x14ac:dyDescent="0.15">
      <c r="B13" s="26"/>
      <c r="C13" s="27"/>
      <c r="D13" s="40"/>
      <c r="E13" s="28"/>
      <c r="F13" s="28"/>
      <c r="G13" s="28">
        <f t="shared" si="0"/>
        <v>0</v>
      </c>
      <c r="H13" s="39"/>
      <c r="I13" s="40"/>
      <c r="J13" s="41"/>
      <c r="K13" s="42"/>
      <c r="L13" s="42"/>
      <c r="M13" s="43" t="e">
        <f t="shared" si="2"/>
        <v>#DIV/0!</v>
      </c>
      <c r="N13" s="37"/>
      <c r="O13" s="38" t="e">
        <f t="shared" si="3"/>
        <v>#DIV/0!</v>
      </c>
      <c r="P13" s="29"/>
      <c r="Q13" s="30" t="e">
        <f t="shared" si="4"/>
        <v>#DIV/0!</v>
      </c>
      <c r="R13" s="23">
        <f t="shared" si="1"/>
        <v>0</v>
      </c>
      <c r="S13" s="31"/>
      <c r="T13" s="32"/>
      <c r="U13" s="33" t="e">
        <f t="shared" si="5"/>
        <v>#DIV/0!</v>
      </c>
      <c r="V13" s="34">
        <f>J13-P13</f>
        <v>0</v>
      </c>
      <c r="W13" s="34">
        <f>(S13*V13)/1000</f>
        <v>0</v>
      </c>
      <c r="X13" s="34"/>
      <c r="Y13" s="35" t="e">
        <f t="shared" si="6"/>
        <v>#DIV/0!</v>
      </c>
      <c r="Z13" s="35" t="e">
        <f t="shared" si="7"/>
        <v>#DIV/0!</v>
      </c>
      <c r="AA13" s="207"/>
      <c r="AB13" s="215"/>
      <c r="AC13" s="36"/>
    </row>
    <row r="14" spans="1:30" x14ac:dyDescent="0.15">
      <c r="B14" s="26"/>
      <c r="C14" s="27"/>
      <c r="E14" s="28"/>
      <c r="F14" s="28"/>
      <c r="G14" s="28">
        <f t="shared" si="0"/>
        <v>0</v>
      </c>
      <c r="H14" s="39"/>
      <c r="I14" s="40"/>
      <c r="J14" s="41"/>
      <c r="K14" s="42"/>
      <c r="L14" s="42"/>
      <c r="M14" s="43" t="e">
        <f t="shared" si="2"/>
        <v>#DIV/0!</v>
      </c>
      <c r="N14" s="37"/>
      <c r="O14" s="38" t="e">
        <f t="shared" si="3"/>
        <v>#DIV/0!</v>
      </c>
      <c r="P14" s="29"/>
      <c r="Q14" s="30" t="e">
        <f t="shared" si="4"/>
        <v>#DIV/0!</v>
      </c>
      <c r="R14" s="23">
        <f>D15-I14</f>
        <v>0</v>
      </c>
      <c r="S14" s="31"/>
      <c r="T14" s="32"/>
      <c r="U14" s="33" t="e">
        <f t="shared" si="5"/>
        <v>#DIV/0!</v>
      </c>
      <c r="V14" s="34">
        <f>J14-P14</f>
        <v>0</v>
      </c>
      <c r="W14" s="34">
        <f>(S14*V14)/1000</f>
        <v>0</v>
      </c>
      <c r="X14" s="34"/>
      <c r="Y14" s="35" t="e">
        <f t="shared" si="6"/>
        <v>#DIV/0!</v>
      </c>
      <c r="Z14" s="35" t="e">
        <f t="shared" si="7"/>
        <v>#DIV/0!</v>
      </c>
      <c r="AA14" s="207"/>
      <c r="AB14" s="215"/>
      <c r="AC14" s="36"/>
    </row>
    <row r="15" spans="1:30" ht="14.25" thickBot="1" x14ac:dyDescent="0.2">
      <c r="A15" s="49"/>
      <c r="B15" s="145"/>
      <c r="C15" s="137"/>
      <c r="D15" s="146"/>
      <c r="E15" s="175"/>
      <c r="F15" s="175"/>
      <c r="G15" s="175">
        <f t="shared" si="0"/>
        <v>0</v>
      </c>
      <c r="H15" s="147"/>
      <c r="I15" s="146"/>
      <c r="J15" s="148"/>
      <c r="K15" s="149"/>
      <c r="L15" s="149"/>
      <c r="M15" s="180" t="e">
        <f t="shared" si="2"/>
        <v>#DIV/0!</v>
      </c>
      <c r="N15" s="181"/>
      <c r="O15" s="150" t="e">
        <f t="shared" si="3"/>
        <v>#DIV/0!</v>
      </c>
      <c r="P15" s="151"/>
      <c r="Q15" s="152" t="e">
        <f t="shared" si="4"/>
        <v>#DIV/0!</v>
      </c>
      <c r="R15" s="153">
        <f>D16-I15</f>
        <v>0</v>
      </c>
      <c r="S15" s="154"/>
      <c r="T15" s="155"/>
      <c r="U15" s="156" t="e">
        <f t="shared" si="5"/>
        <v>#DIV/0!</v>
      </c>
      <c r="V15" s="157">
        <f>J15-P15</f>
        <v>0</v>
      </c>
      <c r="W15" s="157">
        <f>(S15*V15)/1000</f>
        <v>0</v>
      </c>
      <c r="X15" s="157"/>
      <c r="Y15" s="158" t="e">
        <f t="shared" si="6"/>
        <v>#DIV/0!</v>
      </c>
      <c r="Z15" s="158" t="e">
        <f t="shared" si="7"/>
        <v>#DIV/0!</v>
      </c>
      <c r="AA15" s="212"/>
      <c r="AB15" s="222"/>
      <c r="AC15" s="185"/>
      <c r="AD15" s="49"/>
    </row>
    <row r="16" spans="1:30" ht="14.25" thickBot="1" x14ac:dyDescent="0.2">
      <c r="A16" s="49"/>
      <c r="B16" s="159"/>
      <c r="C16" s="160"/>
      <c r="D16" s="161"/>
      <c r="E16" s="162"/>
      <c r="F16" s="162"/>
      <c r="G16" s="162"/>
      <c r="H16" s="239">
        <f>SUM(H4:H15)</f>
        <v>0</v>
      </c>
      <c r="I16" s="161"/>
      <c r="J16" s="163">
        <f>SUM(J4:J15)</f>
        <v>0</v>
      </c>
      <c r="K16" s="164"/>
      <c r="L16" s="240"/>
      <c r="M16" s="241" t="e">
        <f t="shared" si="2"/>
        <v>#DIV/0!</v>
      </c>
      <c r="N16" s="242">
        <f>SUM(N4:N15)</f>
        <v>0</v>
      </c>
      <c r="O16" s="165" t="e">
        <f>N16/J16*100</f>
        <v>#DIV/0!</v>
      </c>
      <c r="P16" s="243">
        <f>SUM(P4:P15)</f>
        <v>0</v>
      </c>
      <c r="Q16" s="166" t="e">
        <f t="shared" si="4"/>
        <v>#DIV/0!</v>
      </c>
      <c r="R16" s="244">
        <f>AVERAGE(R4:R15)</f>
        <v>0</v>
      </c>
      <c r="S16" s="244" t="e">
        <f>AVERAGE(S4:S15)</f>
        <v>#DIV/0!</v>
      </c>
      <c r="T16" s="167" t="e">
        <f>AVERAGE(T4:T15)</f>
        <v>#DIV/0!</v>
      </c>
      <c r="U16" s="244" t="e">
        <f t="shared" si="5"/>
        <v>#DIV/0!</v>
      </c>
      <c r="V16" s="245">
        <f>J16-P16</f>
        <v>0</v>
      </c>
      <c r="W16" s="163">
        <f>SUM(W4:W15)</f>
        <v>0</v>
      </c>
      <c r="X16" s="163">
        <f>SUM(X4:X15)</f>
        <v>0</v>
      </c>
      <c r="Y16" s="246" t="e">
        <f t="shared" si="6"/>
        <v>#DIV/0!</v>
      </c>
      <c r="Z16" s="168" t="e">
        <f t="shared" si="7"/>
        <v>#DIV/0!</v>
      </c>
      <c r="AA16" s="247"/>
      <c r="AB16" s="248"/>
      <c r="AC16" s="249"/>
      <c r="AD16" s="49"/>
    </row>
    <row r="17" spans="2:29" ht="14.25" thickBot="1" x14ac:dyDescent="0.2">
      <c r="B17" s="49"/>
      <c r="C17" s="50"/>
      <c r="D17" s="51"/>
      <c r="E17" s="51"/>
      <c r="F17" s="51"/>
      <c r="G17" s="51"/>
      <c r="H17" s="51"/>
      <c r="I17" s="51"/>
      <c r="J17" s="52"/>
      <c r="K17" s="53"/>
      <c r="L17" s="53"/>
      <c r="M17" s="54"/>
      <c r="N17" s="123"/>
      <c r="O17" s="124"/>
      <c r="P17" s="51"/>
      <c r="Q17" s="55"/>
      <c r="R17" s="51"/>
      <c r="S17" s="56"/>
      <c r="T17" s="56"/>
      <c r="U17" s="56"/>
      <c r="V17" s="52"/>
      <c r="W17" s="52"/>
      <c r="X17" s="52"/>
      <c r="Y17" s="54"/>
      <c r="Z17" s="54"/>
      <c r="AA17" s="54"/>
      <c r="AB17" s="218"/>
      <c r="AC17" s="49"/>
    </row>
    <row r="18" spans="2:29" s="17" customFormat="1" ht="14.25" thickBot="1" x14ac:dyDescent="0.2">
      <c r="B18" s="57" t="s">
        <v>29</v>
      </c>
      <c r="C18" s="58"/>
      <c r="D18" s="59"/>
      <c r="E18" s="59"/>
      <c r="F18" s="59"/>
      <c r="G18" s="59"/>
      <c r="H18" s="59"/>
      <c r="I18" s="59"/>
      <c r="J18" s="59"/>
      <c r="K18" s="57"/>
      <c r="L18" s="57"/>
      <c r="M18" s="59"/>
      <c r="N18" s="260" t="s">
        <v>1</v>
      </c>
      <c r="O18" s="261"/>
      <c r="P18" s="265" t="s">
        <v>30</v>
      </c>
      <c r="Q18" s="266"/>
      <c r="R18" s="266"/>
      <c r="S18" s="266"/>
      <c r="T18" s="266"/>
      <c r="U18" s="266"/>
      <c r="V18" s="266"/>
      <c r="W18" s="266"/>
      <c r="X18" s="266"/>
      <c r="Y18" s="266"/>
      <c r="Z18" s="267"/>
      <c r="AA18" s="210"/>
      <c r="AB18" s="219"/>
      <c r="AC18" s="57"/>
    </row>
    <row r="19" spans="2:29" ht="14.25" thickBot="1" x14ac:dyDescent="0.2">
      <c r="B19" s="9" t="s">
        <v>3</v>
      </c>
      <c r="C19" s="10" t="s">
        <v>4</v>
      </c>
      <c r="D19" s="11" t="s">
        <v>5</v>
      </c>
      <c r="E19" s="11"/>
      <c r="F19" s="11"/>
      <c r="G19" s="11"/>
      <c r="H19" s="11" t="s">
        <v>9</v>
      </c>
      <c r="I19" s="11" t="s">
        <v>10</v>
      </c>
      <c r="J19" s="11" t="s">
        <v>11</v>
      </c>
      <c r="K19" s="9" t="s">
        <v>12</v>
      </c>
      <c r="L19" s="60" t="s">
        <v>13</v>
      </c>
      <c r="M19" s="12" t="s">
        <v>14</v>
      </c>
      <c r="N19" s="96" t="s">
        <v>15</v>
      </c>
      <c r="O19" s="96" t="s">
        <v>16</v>
      </c>
      <c r="P19" s="61" t="s">
        <v>31</v>
      </c>
      <c r="Q19" s="61" t="s">
        <v>18</v>
      </c>
      <c r="R19" s="16" t="s">
        <v>32</v>
      </c>
      <c r="S19" s="11" t="s">
        <v>20</v>
      </c>
      <c r="T19" s="62" t="s">
        <v>21</v>
      </c>
      <c r="U19" s="62" t="s">
        <v>33</v>
      </c>
      <c r="V19" s="11" t="s">
        <v>23</v>
      </c>
      <c r="W19" s="13" t="s">
        <v>24</v>
      </c>
      <c r="X19" s="14" t="s">
        <v>25</v>
      </c>
      <c r="Y19" s="15" t="s">
        <v>26</v>
      </c>
      <c r="Z19" s="16" t="s">
        <v>27</v>
      </c>
      <c r="AA19" s="16"/>
      <c r="AB19" s="220"/>
      <c r="AC19" s="9" t="s">
        <v>28</v>
      </c>
    </row>
    <row r="20" spans="2:29" x14ac:dyDescent="0.15">
      <c r="B20" s="18"/>
      <c r="C20" s="19"/>
      <c r="D20" s="20"/>
      <c r="E20" s="63"/>
      <c r="F20" s="63"/>
      <c r="G20" s="63"/>
      <c r="H20" s="21"/>
      <c r="I20" s="20"/>
      <c r="J20" s="22"/>
      <c r="K20" s="19"/>
      <c r="L20" s="19"/>
      <c r="M20" s="125" t="e">
        <f t="shared" ref="M20:M29" si="8">J20/H20</f>
        <v>#DIV/0!</v>
      </c>
      <c r="N20" s="126"/>
      <c r="O20" s="127" t="e">
        <f t="shared" ref="O20:O29" si="9">N20/J20*100</f>
        <v>#DIV/0!</v>
      </c>
      <c r="P20" s="64">
        <f>J20-V20</f>
        <v>0</v>
      </c>
      <c r="Q20" s="65" t="e">
        <f t="shared" ref="Q20:Q29" si="10">P20/J20*100</f>
        <v>#DIV/0!</v>
      </c>
      <c r="R20" s="66"/>
      <c r="S20" s="67" t="e">
        <f>W20/V20</f>
        <v>#DIV/0!</v>
      </c>
      <c r="T20" s="68"/>
      <c r="U20" s="69" t="e">
        <f>(((S20)*(100-Q20))/(Y20*R20))*100</f>
        <v>#DIV/0!</v>
      </c>
      <c r="V20" s="24"/>
      <c r="W20" s="24"/>
      <c r="X20" s="24"/>
      <c r="Y20" s="25" t="e">
        <f t="shared" ref="Y20:Y28" si="11">X20/W20</f>
        <v>#DIV/0!</v>
      </c>
      <c r="Z20" s="25" t="e">
        <f t="shared" ref="Z20:Z28" si="12">(W20/X20)*100</f>
        <v>#DIV/0!</v>
      </c>
      <c r="AA20" s="211"/>
      <c r="AB20" s="221"/>
      <c r="AC20" s="70"/>
    </row>
    <row r="21" spans="2:29" x14ac:dyDescent="0.15">
      <c r="B21" s="26"/>
      <c r="C21" s="27"/>
      <c r="D21" s="40"/>
      <c r="E21" s="71"/>
      <c r="F21" s="71"/>
      <c r="G21" s="71"/>
      <c r="H21" s="39"/>
      <c r="I21" s="40"/>
      <c r="J21" s="41"/>
      <c r="K21" s="27"/>
      <c r="L21" s="27"/>
      <c r="M21" s="43" t="e">
        <f t="shared" si="8"/>
        <v>#DIV/0!</v>
      </c>
      <c r="N21" s="37"/>
      <c r="O21" s="38" t="e">
        <f t="shared" si="9"/>
        <v>#DIV/0!</v>
      </c>
      <c r="P21" s="72">
        <f>J21-V21</f>
        <v>0</v>
      </c>
      <c r="Q21" s="73" t="e">
        <f t="shared" si="10"/>
        <v>#DIV/0!</v>
      </c>
      <c r="R21" s="23"/>
      <c r="S21" s="74" t="e">
        <f t="shared" ref="S21:S28" si="13">W21/V21</f>
        <v>#DIV/0!</v>
      </c>
      <c r="T21" s="75"/>
      <c r="U21" s="76" t="e">
        <f>(((S21)*(100-Q21))/(Y21*R21))*100</f>
        <v>#DIV/0!</v>
      </c>
      <c r="V21" s="34"/>
      <c r="W21" s="34"/>
      <c r="X21" s="34"/>
      <c r="Y21" s="35" t="e">
        <f t="shared" si="11"/>
        <v>#DIV/0!</v>
      </c>
      <c r="Z21" s="35" t="e">
        <f t="shared" si="12"/>
        <v>#DIV/0!</v>
      </c>
      <c r="AA21" s="207"/>
      <c r="AB21" s="215"/>
      <c r="AC21" s="77"/>
    </row>
    <row r="22" spans="2:29" x14ac:dyDescent="0.15">
      <c r="B22" s="26"/>
      <c r="C22" s="27"/>
      <c r="D22" s="40"/>
      <c r="E22" s="71"/>
      <c r="F22" s="71"/>
      <c r="G22" s="71"/>
      <c r="H22" s="39"/>
      <c r="I22" s="40"/>
      <c r="J22" s="41"/>
      <c r="K22" s="27"/>
      <c r="L22" s="27"/>
      <c r="M22" s="43" t="e">
        <f t="shared" si="8"/>
        <v>#DIV/0!</v>
      </c>
      <c r="N22" s="37"/>
      <c r="O22" s="38" t="e">
        <f t="shared" si="9"/>
        <v>#DIV/0!</v>
      </c>
      <c r="P22" s="72">
        <f>J22-V22</f>
        <v>0</v>
      </c>
      <c r="Q22" s="73" t="e">
        <f t="shared" si="10"/>
        <v>#DIV/0!</v>
      </c>
      <c r="R22" s="23"/>
      <c r="S22" s="74" t="e">
        <f t="shared" si="13"/>
        <v>#DIV/0!</v>
      </c>
      <c r="T22" s="75"/>
      <c r="U22" s="76" t="e">
        <f>(((S22)*(100-Q22))/(Y22*R22))*100</f>
        <v>#DIV/0!</v>
      </c>
      <c r="V22" s="34"/>
      <c r="W22" s="34"/>
      <c r="X22" s="34"/>
      <c r="Y22" s="35" t="e">
        <f t="shared" si="11"/>
        <v>#DIV/0!</v>
      </c>
      <c r="Z22" s="35" t="e">
        <f t="shared" si="12"/>
        <v>#DIV/0!</v>
      </c>
      <c r="AA22" s="207"/>
      <c r="AB22" s="215"/>
      <c r="AC22" s="77"/>
    </row>
    <row r="23" spans="2:29" x14ac:dyDescent="0.15">
      <c r="B23" s="26"/>
      <c r="C23" s="27"/>
      <c r="D23" s="40"/>
      <c r="E23" s="71"/>
      <c r="F23" s="71"/>
      <c r="G23" s="71"/>
      <c r="H23" s="39"/>
      <c r="I23" s="40"/>
      <c r="J23" s="41"/>
      <c r="K23" s="27"/>
      <c r="L23" s="27"/>
      <c r="M23" s="43" t="e">
        <f t="shared" si="8"/>
        <v>#DIV/0!</v>
      </c>
      <c r="N23" s="37"/>
      <c r="O23" s="38" t="e">
        <f t="shared" si="9"/>
        <v>#DIV/0!</v>
      </c>
      <c r="P23" s="72">
        <f>J23-V23</f>
        <v>0</v>
      </c>
      <c r="Q23" s="73" t="e">
        <f t="shared" si="10"/>
        <v>#DIV/0!</v>
      </c>
      <c r="R23" s="23"/>
      <c r="S23" s="74" t="e">
        <f t="shared" si="13"/>
        <v>#DIV/0!</v>
      </c>
      <c r="T23" s="75"/>
      <c r="U23" s="76" t="e">
        <f>(((S23)*(100-Q23))/(Y23*R23))*100</f>
        <v>#DIV/0!</v>
      </c>
      <c r="V23" s="34"/>
      <c r="W23" s="34"/>
      <c r="X23" s="34"/>
      <c r="Y23" s="35" t="e">
        <f t="shared" si="11"/>
        <v>#DIV/0!</v>
      </c>
      <c r="Z23" s="35" t="e">
        <f t="shared" si="12"/>
        <v>#DIV/0!</v>
      </c>
      <c r="AA23" s="207"/>
      <c r="AB23" s="215"/>
      <c r="AC23" s="77"/>
    </row>
    <row r="24" spans="2:29" x14ac:dyDescent="0.15">
      <c r="B24" s="26"/>
      <c r="C24" s="27"/>
      <c r="D24" s="40"/>
      <c r="E24" s="71"/>
      <c r="F24" s="71"/>
      <c r="G24" s="71"/>
      <c r="H24" s="39"/>
      <c r="I24" s="40"/>
      <c r="J24" s="41"/>
      <c r="K24" s="27"/>
      <c r="L24" s="27"/>
      <c r="M24" s="43" t="e">
        <f t="shared" si="8"/>
        <v>#DIV/0!</v>
      </c>
      <c r="N24" s="37"/>
      <c r="O24" s="38" t="e">
        <f t="shared" si="9"/>
        <v>#DIV/0!</v>
      </c>
      <c r="P24" s="72">
        <f>J24-V24</f>
        <v>0</v>
      </c>
      <c r="Q24" s="73" t="e">
        <f t="shared" si="10"/>
        <v>#DIV/0!</v>
      </c>
      <c r="R24" s="23"/>
      <c r="S24" s="74" t="e">
        <f t="shared" si="13"/>
        <v>#DIV/0!</v>
      </c>
      <c r="T24" s="75"/>
      <c r="U24" s="76" t="e">
        <f>(((S24)*(100-Q24))/(Y24*R24))*100</f>
        <v>#DIV/0!</v>
      </c>
      <c r="V24" s="34"/>
      <c r="W24" s="34"/>
      <c r="X24" s="34"/>
      <c r="Y24" s="35" t="e">
        <f t="shared" si="11"/>
        <v>#DIV/0!</v>
      </c>
      <c r="Z24" s="35" t="e">
        <f t="shared" si="12"/>
        <v>#DIV/0!</v>
      </c>
      <c r="AA24" s="207"/>
      <c r="AB24" s="215"/>
      <c r="AC24" s="77"/>
    </row>
    <row r="25" spans="2:29" x14ac:dyDescent="0.15">
      <c r="B25" s="26"/>
      <c r="C25" s="27"/>
      <c r="D25" s="40"/>
      <c r="E25" s="71"/>
      <c r="F25" s="71"/>
      <c r="G25" s="71"/>
      <c r="H25" s="39"/>
      <c r="I25" s="40"/>
      <c r="J25" s="41"/>
      <c r="K25" s="27"/>
      <c r="L25" s="27"/>
      <c r="M25" s="43" t="e">
        <f t="shared" si="8"/>
        <v>#DIV/0!</v>
      </c>
      <c r="N25" s="37"/>
      <c r="O25" s="38" t="e">
        <f t="shared" si="9"/>
        <v>#DIV/0!</v>
      </c>
      <c r="P25" s="72">
        <f>J25-V25</f>
        <v>0</v>
      </c>
      <c r="Q25" s="73" t="e">
        <f t="shared" si="10"/>
        <v>#DIV/0!</v>
      </c>
      <c r="R25" s="23"/>
      <c r="S25" s="74" t="e">
        <f t="shared" si="13"/>
        <v>#DIV/0!</v>
      </c>
      <c r="T25" s="75"/>
      <c r="U25" s="76" t="e">
        <f>(((S25)*(100-Q25))/(Y25*R25))*100</f>
        <v>#DIV/0!</v>
      </c>
      <c r="V25" s="34"/>
      <c r="W25" s="34"/>
      <c r="X25" s="34"/>
      <c r="Y25" s="35" t="e">
        <f t="shared" si="11"/>
        <v>#DIV/0!</v>
      </c>
      <c r="Z25" s="35" t="e">
        <f t="shared" si="12"/>
        <v>#DIV/0!</v>
      </c>
      <c r="AA25" s="207"/>
      <c r="AB25" s="215"/>
      <c r="AC25" s="77"/>
    </row>
    <row r="26" spans="2:29" x14ac:dyDescent="0.15">
      <c r="B26" s="26"/>
      <c r="C26" s="27"/>
      <c r="D26" s="40"/>
      <c r="E26" s="71"/>
      <c r="F26" s="71"/>
      <c r="G26" s="71"/>
      <c r="H26" s="39"/>
      <c r="I26" s="40"/>
      <c r="J26" s="41"/>
      <c r="K26" s="27"/>
      <c r="L26" s="27"/>
      <c r="M26" s="43" t="e">
        <f t="shared" si="8"/>
        <v>#DIV/0!</v>
      </c>
      <c r="N26" s="37"/>
      <c r="O26" s="38" t="e">
        <f t="shared" si="9"/>
        <v>#DIV/0!</v>
      </c>
      <c r="P26" s="72">
        <f>J26-V26</f>
        <v>0</v>
      </c>
      <c r="Q26" s="73" t="e">
        <f t="shared" si="10"/>
        <v>#DIV/0!</v>
      </c>
      <c r="R26" s="23"/>
      <c r="S26" s="74" t="e">
        <f t="shared" si="13"/>
        <v>#DIV/0!</v>
      </c>
      <c r="T26" s="75"/>
      <c r="U26" s="76" t="e">
        <f>(((S26)*(100-Q26))/(Y26*R26))*100</f>
        <v>#DIV/0!</v>
      </c>
      <c r="V26" s="34"/>
      <c r="W26" s="34"/>
      <c r="X26" s="34"/>
      <c r="Y26" s="35" t="e">
        <f t="shared" si="11"/>
        <v>#DIV/0!</v>
      </c>
      <c r="Z26" s="35" t="e">
        <f t="shared" si="12"/>
        <v>#DIV/0!</v>
      </c>
      <c r="AA26" s="207"/>
      <c r="AB26" s="215"/>
      <c r="AC26" s="77"/>
    </row>
    <row r="27" spans="2:29" x14ac:dyDescent="0.15">
      <c r="B27" s="26"/>
      <c r="C27" s="27"/>
      <c r="D27" s="40"/>
      <c r="E27" s="71"/>
      <c r="F27" s="71"/>
      <c r="G27" s="71"/>
      <c r="H27" s="39"/>
      <c r="I27" s="40"/>
      <c r="J27" s="41"/>
      <c r="K27" s="27"/>
      <c r="L27" s="27"/>
      <c r="M27" s="43" t="e">
        <f t="shared" si="8"/>
        <v>#DIV/0!</v>
      </c>
      <c r="N27" s="37"/>
      <c r="O27" s="38" t="e">
        <f t="shared" si="9"/>
        <v>#DIV/0!</v>
      </c>
      <c r="P27" s="72">
        <f>J27-V27</f>
        <v>0</v>
      </c>
      <c r="Q27" s="73" t="e">
        <f t="shared" si="10"/>
        <v>#DIV/0!</v>
      </c>
      <c r="R27" s="23"/>
      <c r="S27" s="74" t="e">
        <f t="shared" si="13"/>
        <v>#DIV/0!</v>
      </c>
      <c r="T27" s="75"/>
      <c r="U27" s="76" t="e">
        <f>(((S27)*(100-Q27))/(Y27*R27))*100</f>
        <v>#DIV/0!</v>
      </c>
      <c r="V27" s="34"/>
      <c r="W27" s="34"/>
      <c r="X27" s="34"/>
      <c r="Y27" s="35" t="e">
        <f t="shared" si="11"/>
        <v>#DIV/0!</v>
      </c>
      <c r="Z27" s="35" t="e">
        <f t="shared" si="12"/>
        <v>#DIV/0!</v>
      </c>
      <c r="AA27" s="207"/>
      <c r="AB27" s="215"/>
      <c r="AC27" s="77"/>
    </row>
    <row r="28" spans="2:29" s="204" customFormat="1" ht="14.25" thickBot="1" x14ac:dyDescent="0.2">
      <c r="B28" s="145"/>
      <c r="C28" s="137"/>
      <c r="D28" s="146"/>
      <c r="E28" s="169"/>
      <c r="F28" s="169"/>
      <c r="G28" s="169"/>
      <c r="H28" s="147"/>
      <c r="I28" s="146"/>
      <c r="J28" s="148"/>
      <c r="K28" s="137"/>
      <c r="L28" s="137"/>
      <c r="M28" s="180" t="e">
        <f t="shared" si="8"/>
        <v>#DIV/0!</v>
      </c>
      <c r="N28" s="181"/>
      <c r="O28" s="150" t="e">
        <f t="shared" si="9"/>
        <v>#DIV/0!</v>
      </c>
      <c r="P28" s="187">
        <f>J28-V28</f>
        <v>0</v>
      </c>
      <c r="Q28" s="188" t="e">
        <f t="shared" si="10"/>
        <v>#DIV/0!</v>
      </c>
      <c r="R28" s="153"/>
      <c r="S28" s="182" t="e">
        <f t="shared" si="13"/>
        <v>#DIV/0!</v>
      </c>
      <c r="T28" s="183"/>
      <c r="U28" s="184" t="e">
        <f>(((S28)*(100-Q28))/(Y28*R28))*100</f>
        <v>#DIV/0!</v>
      </c>
      <c r="V28" s="157"/>
      <c r="W28" s="157"/>
      <c r="X28" s="157"/>
      <c r="Y28" s="158" t="e">
        <f t="shared" si="11"/>
        <v>#DIV/0!</v>
      </c>
      <c r="Z28" s="158" t="e">
        <f t="shared" si="12"/>
        <v>#DIV/0!</v>
      </c>
      <c r="AA28" s="212"/>
      <c r="AB28" s="222"/>
      <c r="AC28" s="189"/>
    </row>
    <row r="29" spans="2:29" ht="14.25" thickBot="1" x14ac:dyDescent="0.2">
      <c r="B29" s="250"/>
      <c r="C29" s="251"/>
      <c r="D29" s="161"/>
      <c r="E29" s="161"/>
      <c r="F29" s="161"/>
      <c r="G29" s="161"/>
      <c r="H29" s="239">
        <f>SUM(H20:H28)</f>
        <v>0</v>
      </c>
      <c r="I29" s="161"/>
      <c r="J29" s="163">
        <f>SUM(J20:J28)</f>
        <v>0</v>
      </c>
      <c r="K29" s="170"/>
      <c r="L29" s="252"/>
      <c r="M29" s="168" t="e">
        <f t="shared" si="8"/>
        <v>#DIV/0!</v>
      </c>
      <c r="N29" s="253">
        <f>SUM(N20:N28)</f>
        <v>0</v>
      </c>
      <c r="O29" s="190" t="e">
        <f t="shared" si="9"/>
        <v>#DIV/0!</v>
      </c>
      <c r="P29" s="254">
        <f>SUM(P20:P28)</f>
        <v>0</v>
      </c>
      <c r="Q29" s="171" t="e">
        <f t="shared" si="10"/>
        <v>#DIV/0!</v>
      </c>
      <c r="R29" s="255" t="e">
        <f>AVERAGE(R20:R28)</f>
        <v>#DIV/0!</v>
      </c>
      <c r="S29" s="172" t="e">
        <f>W29/V29</f>
        <v>#DIV/0!</v>
      </c>
      <c r="T29" s="256" t="e">
        <f>AVERAGE(T20:T28)</f>
        <v>#DIV/0!</v>
      </c>
      <c r="U29" s="257" t="e">
        <f>(((S29)*(100-Q29))/(Y29*R29))*100</f>
        <v>#DIV/0!</v>
      </c>
      <c r="V29" s="163">
        <f>J29-P29</f>
        <v>0</v>
      </c>
      <c r="W29" s="163">
        <f>SUM(W20:W28)</f>
        <v>0</v>
      </c>
      <c r="X29" s="163">
        <f>SUM(X20:X28)</f>
        <v>0</v>
      </c>
      <c r="Y29" s="258" t="e">
        <f>X29/W29</f>
        <v>#DIV/0!</v>
      </c>
      <c r="Z29" s="168" t="e">
        <f>W29/X29*100</f>
        <v>#DIV/0!</v>
      </c>
      <c r="AA29" s="247"/>
      <c r="AB29" s="248"/>
      <c r="AC29" s="259"/>
    </row>
  </sheetData>
  <mergeCells count="4">
    <mergeCell ref="N2:O2"/>
    <mergeCell ref="P2:Z2"/>
    <mergeCell ref="N18:O18"/>
    <mergeCell ref="P18:Z1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GENEL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lenova</dc:creator>
  <cp:lastModifiedBy>Eyüp YAVUZ</cp:lastModifiedBy>
  <dcterms:created xsi:type="dcterms:W3CDTF">2020-06-01T18:32:54Z</dcterms:created>
  <dcterms:modified xsi:type="dcterms:W3CDTF">2026-03-14T08:15:02Z</dcterms:modified>
</cp:coreProperties>
</file>